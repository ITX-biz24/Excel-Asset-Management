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2FD79C-11DA-4010-B161-8B04F85E9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7" i="1" l="1"/>
  <c r="P37" i="1"/>
  <c r="M37" i="1"/>
  <c r="S36" i="1"/>
  <c r="P36" i="1"/>
  <c r="M36" i="1"/>
  <c r="S35" i="1"/>
  <c r="P35" i="1"/>
  <c r="M35" i="1"/>
  <c r="S34" i="1"/>
  <c r="P34" i="1"/>
  <c r="M34" i="1"/>
  <c r="S33" i="1"/>
  <c r="P33" i="1"/>
  <c r="M33" i="1"/>
  <c r="S32" i="1"/>
  <c r="P32" i="1"/>
  <c r="M32" i="1"/>
  <c r="S31" i="1"/>
  <c r="P31" i="1"/>
  <c r="M31" i="1"/>
  <c r="S30" i="1"/>
  <c r="P30" i="1"/>
  <c r="M30" i="1"/>
  <c r="S29" i="1"/>
  <c r="P29" i="1"/>
  <c r="M29" i="1"/>
  <c r="S28" i="1"/>
  <c r="P28" i="1"/>
  <c r="M28" i="1"/>
  <c r="S27" i="1"/>
  <c r="P27" i="1"/>
  <c r="M27" i="1"/>
  <c r="S26" i="1"/>
  <c r="P26" i="1"/>
  <c r="M26" i="1"/>
  <c r="S25" i="1"/>
  <c r="P25" i="1"/>
  <c r="M25" i="1"/>
  <c r="S24" i="1"/>
  <c r="P24" i="1"/>
  <c r="M24" i="1"/>
  <c r="S23" i="1"/>
  <c r="P23" i="1"/>
  <c r="M23" i="1"/>
  <c r="S22" i="1"/>
  <c r="P22" i="1"/>
  <c r="M22" i="1"/>
  <c r="S21" i="1"/>
  <c r="P21" i="1"/>
  <c r="M21" i="1"/>
  <c r="S20" i="1"/>
  <c r="P20" i="1"/>
  <c r="M20" i="1"/>
  <c r="S19" i="1"/>
  <c r="P19" i="1"/>
  <c r="M19" i="1"/>
  <c r="S18" i="1"/>
  <c r="P18" i="1"/>
  <c r="M18" i="1"/>
  <c r="S17" i="1"/>
  <c r="P17" i="1"/>
  <c r="M17" i="1"/>
  <c r="S16" i="1"/>
  <c r="P16" i="1"/>
  <c r="M16" i="1"/>
  <c r="S15" i="1"/>
  <c r="P15" i="1"/>
  <c r="M15" i="1"/>
  <c r="S14" i="1"/>
  <c r="P14" i="1"/>
  <c r="M14" i="1"/>
  <c r="S13" i="1"/>
  <c r="P13" i="1"/>
  <c r="M13" i="1"/>
  <c r="S12" i="1"/>
  <c r="P12" i="1"/>
  <c r="M12" i="1"/>
  <c r="S11" i="1"/>
  <c r="P11" i="1"/>
  <c r="M11" i="1"/>
  <c r="S10" i="1"/>
  <c r="P10" i="1"/>
  <c r="M10" i="1"/>
  <c r="S7" i="1"/>
  <c r="S8" i="1" s="1"/>
  <c r="S9" i="1" s="1"/>
  <c r="P7" i="1"/>
  <c r="P8" i="1" s="1"/>
  <c r="P9" i="1" s="1"/>
  <c r="M7" i="1"/>
  <c r="M8" i="1" s="1"/>
  <c r="M9" i="1" s="1"/>
  <c r="G3" i="1"/>
  <c r="E3" i="1"/>
  <c r="C3" i="1"/>
  <c r="A3" i="1" l="1"/>
</calcChain>
</file>

<file path=xl/sharedStrings.xml><?xml version="1.0" encoding="utf-8"?>
<sst xmlns="http://schemas.openxmlformats.org/spreadsheetml/2006/main" count="107" uniqueCount="11">
  <si>
    <t>合計資産</t>
  </si>
  <si>
    <t>現金</t>
  </si>
  <si>
    <t>銀行</t>
  </si>
  <si>
    <t>QR</t>
  </si>
  <si>
    <t>プリセット</t>
  </si>
  <si>
    <t>収入先</t>
  </si>
  <si>
    <t>内容</t>
  </si>
  <si>
    <t>収入</t>
  </si>
  <si>
    <t>支出</t>
  </si>
  <si>
    <t>残高</t>
  </si>
  <si>
    <t>支出先</t>
    <rPh sb="0" eb="3">
      <t>シシュツサキ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</si>
</sst>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;[Red]&quot;¥&quot;#,##0"/>
    <numFmt numFmtId="177" formatCode="m/d;@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/>
    <xf numFmtId="176" fontId="0" fillId="0" borderId="0" xfId="0" applyNumberFormat="1" applyAlignment="1">
      <alignment horizontal="center" vertical="center"/>
    </xf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workbookViewId="0">
      <selection activeCell="I11" sqref="I11:K11"/>
    </sheetView>
  </sheetViews>
  <sheetFormatPr defaultRowHeight="18" x14ac:dyDescent="0.45"/>
  <cols>
    <col min="1" max="1" width="10.796875" style="3" customWidth="1"/>
    <col min="5" max="5" width="8.796875" style="3" customWidth="1"/>
  </cols>
  <sheetData>
    <row r="1" spans="1:20" x14ac:dyDescent="0.45">
      <c r="A1" s="9" t="s">
        <v>0</v>
      </c>
      <c r="B1" s="7"/>
      <c r="C1" s="4" t="s">
        <v>1</v>
      </c>
      <c r="D1" s="7"/>
      <c r="E1" s="4" t="s">
        <v>2</v>
      </c>
      <c r="F1" s="7"/>
      <c r="G1" s="4" t="s">
        <v>3</v>
      </c>
      <c r="H1" s="7"/>
      <c r="I1" s="4" t="s">
        <v>4</v>
      </c>
      <c r="J1" s="7"/>
      <c r="K1" s="7"/>
      <c r="L1" s="7"/>
      <c r="M1" s="7"/>
      <c r="N1" s="7"/>
    </row>
    <row r="2" spans="1:20" x14ac:dyDescent="0.45">
      <c r="A2" s="5"/>
      <c r="B2" s="7"/>
      <c r="C2" s="7"/>
      <c r="D2" s="7"/>
      <c r="E2" s="5"/>
      <c r="F2" s="7"/>
      <c r="G2" s="7"/>
      <c r="H2" s="7"/>
      <c r="I2" s="4" t="s">
        <v>1</v>
      </c>
      <c r="J2" s="7"/>
      <c r="K2" s="4" t="s">
        <v>2</v>
      </c>
      <c r="L2" s="7"/>
      <c r="M2" s="4" t="s">
        <v>3</v>
      </c>
      <c r="N2" s="7"/>
    </row>
    <row r="3" spans="1:20" ht="18" customHeight="1" x14ac:dyDescent="0.45">
      <c r="A3" s="8">
        <f>SUM(C3,E3,G3)</f>
        <v>300</v>
      </c>
      <c r="B3" s="7"/>
      <c r="C3" s="8">
        <f>MAX(0,I3+SUMIF($C$7:$C$37,"現金",$I$7:$I$37)-SUMIF($B$7:$B$37,"現金",$I$7:$I$37))</f>
        <v>100</v>
      </c>
      <c r="D3" s="7"/>
      <c r="E3" s="8">
        <f>MAX(0,K3+SUMIF($C$7:$C$37,"銀行",$I$7:$I$37)-SUMIF($B$7:$B$37,"銀行",$I$7:$I$37))</f>
        <v>100</v>
      </c>
      <c r="F3" s="7"/>
      <c r="G3" s="8">
        <f>MAX(0,M3+SUMIF($C$7:$C$37,"QR",$I$7:$I$37)-SUMIF($B$7:$B$37,"QR",$I$7:$I$37))</f>
        <v>100</v>
      </c>
      <c r="H3" s="7"/>
      <c r="I3" s="8">
        <v>100</v>
      </c>
      <c r="J3" s="7"/>
      <c r="K3" s="8">
        <v>100</v>
      </c>
      <c r="L3" s="7"/>
      <c r="M3" s="8">
        <v>100</v>
      </c>
      <c r="N3" s="7"/>
    </row>
    <row r="4" spans="1:20" ht="18" customHeight="1" x14ac:dyDescent="0.45">
      <c r="A4" s="5"/>
      <c r="B4" s="7"/>
      <c r="C4" s="7"/>
      <c r="D4" s="7"/>
      <c r="E4" s="5"/>
      <c r="F4" s="7"/>
      <c r="G4" s="7"/>
      <c r="H4" s="7"/>
      <c r="I4" s="7"/>
      <c r="J4" s="7"/>
      <c r="K4" s="7"/>
      <c r="L4" s="7"/>
      <c r="M4" s="7"/>
      <c r="N4" s="7"/>
    </row>
    <row r="5" spans="1:20" x14ac:dyDescent="0.45">
      <c r="A5" s="4">
        <v>2026.7</v>
      </c>
      <c r="B5" s="4" t="s">
        <v>10</v>
      </c>
      <c r="C5" s="4" t="s">
        <v>5</v>
      </c>
      <c r="D5" s="4" t="s">
        <v>6</v>
      </c>
      <c r="E5" s="5"/>
      <c r="F5" s="4" t="s">
        <v>7</v>
      </c>
      <c r="G5" s="7"/>
      <c r="H5" s="7"/>
      <c r="I5" s="4" t="s">
        <v>8</v>
      </c>
      <c r="J5" s="7"/>
      <c r="K5" s="7"/>
      <c r="L5" s="4" t="s">
        <v>9</v>
      </c>
      <c r="M5" s="7"/>
      <c r="N5" s="7"/>
      <c r="O5" s="7"/>
      <c r="P5" s="7"/>
      <c r="Q5" s="7"/>
      <c r="R5" s="7"/>
      <c r="S5" s="7"/>
      <c r="T5" s="7"/>
    </row>
    <row r="6" spans="1:20" x14ac:dyDescent="0.45">
      <c r="A6" s="5"/>
      <c r="B6" s="4"/>
      <c r="C6" s="7"/>
      <c r="D6" s="7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45">
      <c r="A7" s="2">
        <v>46204</v>
      </c>
      <c r="D7" s="4"/>
      <c r="E7" s="5"/>
      <c r="F7" s="6"/>
      <c r="G7" s="7"/>
      <c r="H7" s="7"/>
      <c r="I7" s="6"/>
      <c r="J7" s="7"/>
      <c r="K7" s="7"/>
      <c r="L7" s="1" t="s">
        <v>1</v>
      </c>
      <c r="M7" s="4" t="str">
        <f>IF(OR($B7="",$I7="",$B7=$C7),"",$I$3+IF($C7="現金",$I7,0)-IF($B7="現金",$I7,0))</f>
        <v/>
      </c>
      <c r="N7" s="7"/>
      <c r="O7" s="1" t="s">
        <v>2</v>
      </c>
      <c r="P7" s="4" t="str">
        <f>IF(OR($B7="",$I7="",$B7=$C7),"",$K$3+IF($C7="銀行",$I7,0)-IF($B7="銀行",$I7,0))</f>
        <v/>
      </c>
      <c r="Q7" s="7"/>
      <c r="R7" s="1" t="s">
        <v>3</v>
      </c>
      <c r="S7" s="4" t="str">
        <f>IF(OR($B7="",$I7="",$B7=$C7),"",$M$3+IF($C7="QR",$I7,0)-IF($B7="QR",$I7,0))</f>
        <v/>
      </c>
      <c r="T7" s="7"/>
    </row>
    <row r="8" spans="1:20" x14ac:dyDescent="0.45">
      <c r="A8" s="2">
        <v>46205</v>
      </c>
      <c r="D8" s="4"/>
      <c r="E8" s="5"/>
      <c r="F8" s="6"/>
      <c r="G8" s="7"/>
      <c r="H8" s="7"/>
      <c r="I8" s="6"/>
      <c r="J8" s="7"/>
      <c r="K8" s="7"/>
      <c r="L8" s="1" t="s">
        <v>1</v>
      </c>
      <c r="M8" s="4" t="str">
        <f t="shared" ref="M8:M37" si="0">IF(OR($B8="",$I8="",$B8=$C8),"",M7+IF($C8="現金",$I8,0)-IF($B8="現金",$I8,0))</f>
        <v/>
      </c>
      <c r="N8" s="7"/>
      <c r="O8" s="1" t="s">
        <v>2</v>
      </c>
      <c r="P8" s="4" t="str">
        <f t="shared" ref="P8:P37" si="1">IF(OR($B8="",$I8="",$B8=$C8),"",P7+IF($C8="銀行",$I8,0)-IF($B8="銀行",$I8,0))</f>
        <v/>
      </c>
      <c r="Q8" s="7"/>
      <c r="R8" s="1" t="s">
        <v>3</v>
      </c>
      <c r="S8" s="4" t="str">
        <f t="shared" ref="S8:S37" si="2">IF(OR($B8="",$I8="",$B8=$C8),"",S7+IF($C8="QR",$I8,0)-IF($B8="QR",$I8,0))</f>
        <v/>
      </c>
      <c r="T8" s="7"/>
    </row>
    <row r="9" spans="1:20" x14ac:dyDescent="0.45">
      <c r="A9" s="2">
        <v>46206</v>
      </c>
      <c r="D9" s="4"/>
      <c r="E9" s="5"/>
      <c r="F9" s="6"/>
      <c r="G9" s="7"/>
      <c r="H9" s="7"/>
      <c r="I9" s="6"/>
      <c r="J9" s="7"/>
      <c r="K9" s="7"/>
      <c r="L9" s="1" t="s">
        <v>1</v>
      </c>
      <c r="M9" s="4" t="str">
        <f t="shared" si="0"/>
        <v/>
      </c>
      <c r="N9" s="7"/>
      <c r="O9" s="1" t="s">
        <v>2</v>
      </c>
      <c r="P9" s="4" t="str">
        <f t="shared" si="1"/>
        <v/>
      </c>
      <c r="Q9" s="7"/>
      <c r="R9" s="1" t="s">
        <v>3</v>
      </c>
      <c r="S9" s="4" t="str">
        <f t="shared" si="2"/>
        <v/>
      </c>
      <c r="T9" s="7"/>
    </row>
    <row r="10" spans="1:20" x14ac:dyDescent="0.45">
      <c r="A10" s="2">
        <v>46207</v>
      </c>
      <c r="D10" s="4"/>
      <c r="E10" s="5"/>
      <c r="F10" s="6"/>
      <c r="G10" s="7"/>
      <c r="H10" s="7"/>
      <c r="I10" s="6"/>
      <c r="J10" s="7"/>
      <c r="K10" s="7"/>
      <c r="L10" s="1" t="s">
        <v>1</v>
      </c>
      <c r="M10" s="4" t="str">
        <f t="shared" si="0"/>
        <v/>
      </c>
      <c r="N10" s="7"/>
      <c r="O10" s="1" t="s">
        <v>2</v>
      </c>
      <c r="P10" s="4" t="str">
        <f t="shared" si="1"/>
        <v/>
      </c>
      <c r="Q10" s="7"/>
      <c r="R10" s="1" t="s">
        <v>3</v>
      </c>
      <c r="S10" s="4" t="str">
        <f t="shared" si="2"/>
        <v/>
      </c>
      <c r="T10" s="7"/>
    </row>
    <row r="11" spans="1:20" x14ac:dyDescent="0.45">
      <c r="A11" s="2">
        <v>46208</v>
      </c>
      <c r="D11" s="4"/>
      <c r="E11" s="5"/>
      <c r="F11" s="6"/>
      <c r="G11" s="7"/>
      <c r="H11" s="7"/>
      <c r="I11" s="6"/>
      <c r="J11" s="7"/>
      <c r="K11" s="7"/>
      <c r="L11" s="1" t="s">
        <v>1</v>
      </c>
      <c r="M11" s="4" t="str">
        <f t="shared" si="0"/>
        <v/>
      </c>
      <c r="N11" s="7"/>
      <c r="O11" s="1" t="s">
        <v>2</v>
      </c>
      <c r="P11" s="4" t="str">
        <f t="shared" si="1"/>
        <v/>
      </c>
      <c r="Q11" s="7"/>
      <c r="R11" s="1" t="s">
        <v>3</v>
      </c>
      <c r="S11" s="4" t="str">
        <f t="shared" si="2"/>
        <v/>
      </c>
      <c r="T11" s="7"/>
    </row>
    <row r="12" spans="1:20" x14ac:dyDescent="0.45">
      <c r="A12" s="2">
        <v>46209</v>
      </c>
      <c r="D12" s="4"/>
      <c r="E12" s="5"/>
      <c r="F12" s="6"/>
      <c r="G12" s="7"/>
      <c r="H12" s="7"/>
      <c r="I12" s="6"/>
      <c r="J12" s="7"/>
      <c r="K12" s="7"/>
      <c r="L12" s="1" t="s">
        <v>1</v>
      </c>
      <c r="M12" s="4" t="str">
        <f t="shared" si="0"/>
        <v/>
      </c>
      <c r="N12" s="7"/>
      <c r="O12" s="1" t="s">
        <v>2</v>
      </c>
      <c r="P12" s="4" t="str">
        <f t="shared" si="1"/>
        <v/>
      </c>
      <c r="Q12" s="7"/>
      <c r="R12" s="1" t="s">
        <v>3</v>
      </c>
      <c r="S12" s="4" t="str">
        <f t="shared" si="2"/>
        <v/>
      </c>
      <c r="T12" s="7"/>
    </row>
    <row r="13" spans="1:20" x14ac:dyDescent="0.45">
      <c r="A13" s="2">
        <v>46210</v>
      </c>
      <c r="D13" s="4"/>
      <c r="E13" s="5"/>
      <c r="F13" s="6"/>
      <c r="G13" s="7"/>
      <c r="H13" s="7"/>
      <c r="I13" s="6"/>
      <c r="J13" s="7"/>
      <c r="K13" s="7"/>
      <c r="L13" s="1" t="s">
        <v>1</v>
      </c>
      <c r="M13" s="4" t="str">
        <f t="shared" si="0"/>
        <v/>
      </c>
      <c r="N13" s="7"/>
      <c r="O13" s="1" t="s">
        <v>2</v>
      </c>
      <c r="P13" s="4" t="str">
        <f t="shared" si="1"/>
        <v/>
      </c>
      <c r="Q13" s="7"/>
      <c r="R13" s="1" t="s">
        <v>3</v>
      </c>
      <c r="S13" s="4" t="str">
        <f t="shared" si="2"/>
        <v/>
      </c>
      <c r="T13" s="7"/>
    </row>
    <row r="14" spans="1:20" x14ac:dyDescent="0.45">
      <c r="A14" s="2">
        <v>46211</v>
      </c>
      <c r="D14" s="4"/>
      <c r="E14" s="5"/>
      <c r="F14" s="6"/>
      <c r="G14" s="7"/>
      <c r="H14" s="7"/>
      <c r="I14" s="6"/>
      <c r="J14" s="7"/>
      <c r="K14" s="7"/>
      <c r="L14" s="1" t="s">
        <v>1</v>
      </c>
      <c r="M14" s="4" t="str">
        <f t="shared" si="0"/>
        <v/>
      </c>
      <c r="N14" s="7"/>
      <c r="O14" s="1" t="s">
        <v>2</v>
      </c>
      <c r="P14" s="4" t="str">
        <f t="shared" si="1"/>
        <v/>
      </c>
      <c r="Q14" s="7"/>
      <c r="R14" s="1" t="s">
        <v>3</v>
      </c>
      <c r="S14" s="4" t="str">
        <f t="shared" si="2"/>
        <v/>
      </c>
      <c r="T14" s="7"/>
    </row>
    <row r="15" spans="1:20" x14ac:dyDescent="0.45">
      <c r="A15" s="2">
        <v>46212</v>
      </c>
      <c r="D15" s="4"/>
      <c r="E15" s="5"/>
      <c r="F15" s="6"/>
      <c r="G15" s="7"/>
      <c r="H15" s="7"/>
      <c r="I15" s="6"/>
      <c r="J15" s="7"/>
      <c r="K15" s="7"/>
      <c r="L15" s="1" t="s">
        <v>1</v>
      </c>
      <c r="M15" s="4" t="str">
        <f t="shared" si="0"/>
        <v/>
      </c>
      <c r="N15" s="7"/>
      <c r="O15" s="1" t="s">
        <v>2</v>
      </c>
      <c r="P15" s="4" t="str">
        <f t="shared" si="1"/>
        <v/>
      </c>
      <c r="Q15" s="7"/>
      <c r="R15" s="1" t="s">
        <v>3</v>
      </c>
      <c r="S15" s="4" t="str">
        <f t="shared" si="2"/>
        <v/>
      </c>
      <c r="T15" s="7"/>
    </row>
    <row r="16" spans="1:20" x14ac:dyDescent="0.45">
      <c r="A16" s="2">
        <v>46213</v>
      </c>
      <c r="D16" s="4"/>
      <c r="E16" s="5"/>
      <c r="F16" s="6"/>
      <c r="G16" s="7"/>
      <c r="H16" s="7"/>
      <c r="I16" s="6"/>
      <c r="J16" s="7"/>
      <c r="K16" s="7"/>
      <c r="L16" s="1" t="s">
        <v>1</v>
      </c>
      <c r="M16" s="4" t="str">
        <f t="shared" si="0"/>
        <v/>
      </c>
      <c r="N16" s="7"/>
      <c r="O16" s="1" t="s">
        <v>2</v>
      </c>
      <c r="P16" s="4" t="str">
        <f t="shared" si="1"/>
        <v/>
      </c>
      <c r="Q16" s="7"/>
      <c r="R16" s="1" t="s">
        <v>3</v>
      </c>
      <c r="S16" s="4" t="str">
        <f t="shared" si="2"/>
        <v/>
      </c>
      <c r="T16" s="7"/>
    </row>
    <row r="17" spans="1:20" x14ac:dyDescent="0.45">
      <c r="A17" s="2">
        <v>46214</v>
      </c>
      <c r="D17" s="4"/>
      <c r="E17" s="5"/>
      <c r="F17" s="6"/>
      <c r="G17" s="7"/>
      <c r="H17" s="7"/>
      <c r="I17" s="6"/>
      <c r="J17" s="7"/>
      <c r="K17" s="7"/>
      <c r="L17" s="1" t="s">
        <v>1</v>
      </c>
      <c r="M17" s="4" t="str">
        <f t="shared" si="0"/>
        <v/>
      </c>
      <c r="N17" s="7"/>
      <c r="O17" s="1" t="s">
        <v>2</v>
      </c>
      <c r="P17" s="4" t="str">
        <f t="shared" si="1"/>
        <v/>
      </c>
      <c r="Q17" s="7"/>
      <c r="R17" s="1" t="s">
        <v>3</v>
      </c>
      <c r="S17" s="4" t="str">
        <f t="shared" si="2"/>
        <v/>
      </c>
      <c r="T17" s="7"/>
    </row>
    <row r="18" spans="1:20" x14ac:dyDescent="0.45">
      <c r="A18" s="2">
        <v>46215</v>
      </c>
      <c r="D18" s="4"/>
      <c r="E18" s="5"/>
      <c r="F18" s="6"/>
      <c r="G18" s="7"/>
      <c r="H18" s="7"/>
      <c r="I18" s="6"/>
      <c r="J18" s="7"/>
      <c r="K18" s="7"/>
      <c r="L18" s="1" t="s">
        <v>1</v>
      </c>
      <c r="M18" s="4" t="str">
        <f t="shared" si="0"/>
        <v/>
      </c>
      <c r="N18" s="7"/>
      <c r="O18" s="1" t="s">
        <v>2</v>
      </c>
      <c r="P18" s="4" t="str">
        <f t="shared" si="1"/>
        <v/>
      </c>
      <c r="Q18" s="7"/>
      <c r="R18" s="1" t="s">
        <v>3</v>
      </c>
      <c r="S18" s="4" t="str">
        <f t="shared" si="2"/>
        <v/>
      </c>
      <c r="T18" s="7"/>
    </row>
    <row r="19" spans="1:20" x14ac:dyDescent="0.45">
      <c r="A19" s="2">
        <v>46216</v>
      </c>
      <c r="D19" s="4"/>
      <c r="E19" s="5"/>
      <c r="F19" s="6"/>
      <c r="G19" s="7"/>
      <c r="H19" s="7"/>
      <c r="I19" s="6"/>
      <c r="J19" s="7"/>
      <c r="K19" s="7"/>
      <c r="L19" s="1" t="s">
        <v>1</v>
      </c>
      <c r="M19" s="4" t="str">
        <f t="shared" si="0"/>
        <v/>
      </c>
      <c r="N19" s="7"/>
      <c r="O19" s="1" t="s">
        <v>2</v>
      </c>
      <c r="P19" s="4" t="str">
        <f t="shared" si="1"/>
        <v/>
      </c>
      <c r="Q19" s="7"/>
      <c r="R19" s="1" t="s">
        <v>3</v>
      </c>
      <c r="S19" s="4" t="str">
        <f t="shared" si="2"/>
        <v/>
      </c>
      <c r="T19" s="7"/>
    </row>
    <row r="20" spans="1:20" x14ac:dyDescent="0.45">
      <c r="A20" s="2">
        <v>46217</v>
      </c>
      <c r="D20" s="4"/>
      <c r="E20" s="5"/>
      <c r="F20" s="6"/>
      <c r="G20" s="7"/>
      <c r="H20" s="7"/>
      <c r="I20" s="6"/>
      <c r="J20" s="7"/>
      <c r="K20" s="7"/>
      <c r="L20" s="1" t="s">
        <v>1</v>
      </c>
      <c r="M20" s="4" t="str">
        <f t="shared" si="0"/>
        <v/>
      </c>
      <c r="N20" s="7"/>
      <c r="O20" s="1" t="s">
        <v>2</v>
      </c>
      <c r="P20" s="4" t="str">
        <f t="shared" si="1"/>
        <v/>
      </c>
      <c r="Q20" s="7"/>
      <c r="R20" s="1" t="s">
        <v>3</v>
      </c>
      <c r="S20" s="4" t="str">
        <f t="shared" si="2"/>
        <v/>
      </c>
      <c r="T20" s="7"/>
    </row>
    <row r="21" spans="1:20" x14ac:dyDescent="0.45">
      <c r="A21" s="2">
        <v>46218</v>
      </c>
      <c r="D21" s="4"/>
      <c r="E21" s="5"/>
      <c r="F21" s="6"/>
      <c r="G21" s="7"/>
      <c r="H21" s="7"/>
      <c r="I21" s="6"/>
      <c r="J21" s="7"/>
      <c r="K21" s="7"/>
      <c r="L21" s="1" t="s">
        <v>1</v>
      </c>
      <c r="M21" s="4" t="str">
        <f t="shared" si="0"/>
        <v/>
      </c>
      <c r="N21" s="7"/>
      <c r="O21" s="1" t="s">
        <v>2</v>
      </c>
      <c r="P21" s="4" t="str">
        <f t="shared" si="1"/>
        <v/>
      </c>
      <c r="Q21" s="7"/>
      <c r="R21" s="1" t="s">
        <v>3</v>
      </c>
      <c r="S21" s="4" t="str">
        <f t="shared" si="2"/>
        <v/>
      </c>
      <c r="T21" s="7"/>
    </row>
    <row r="22" spans="1:20" x14ac:dyDescent="0.45">
      <c r="A22" s="2">
        <v>46219</v>
      </c>
      <c r="D22" s="4"/>
      <c r="E22" s="5"/>
      <c r="F22" s="6"/>
      <c r="G22" s="7"/>
      <c r="H22" s="7"/>
      <c r="I22" s="6"/>
      <c r="J22" s="7"/>
      <c r="K22" s="7"/>
      <c r="L22" s="1" t="s">
        <v>1</v>
      </c>
      <c r="M22" s="4" t="str">
        <f t="shared" si="0"/>
        <v/>
      </c>
      <c r="N22" s="7"/>
      <c r="O22" s="1" t="s">
        <v>2</v>
      </c>
      <c r="P22" s="4" t="str">
        <f t="shared" si="1"/>
        <v/>
      </c>
      <c r="Q22" s="7"/>
      <c r="R22" s="1" t="s">
        <v>3</v>
      </c>
      <c r="S22" s="4" t="str">
        <f t="shared" si="2"/>
        <v/>
      </c>
      <c r="T22" s="7"/>
    </row>
    <row r="23" spans="1:20" x14ac:dyDescent="0.45">
      <c r="A23" s="2">
        <v>46220</v>
      </c>
      <c r="D23" s="4"/>
      <c r="E23" s="5"/>
      <c r="F23" s="6"/>
      <c r="G23" s="7"/>
      <c r="H23" s="7"/>
      <c r="I23" s="6"/>
      <c r="J23" s="7"/>
      <c r="K23" s="7"/>
      <c r="L23" s="1" t="s">
        <v>1</v>
      </c>
      <c r="M23" s="4" t="str">
        <f t="shared" si="0"/>
        <v/>
      </c>
      <c r="N23" s="7"/>
      <c r="O23" s="1" t="s">
        <v>2</v>
      </c>
      <c r="P23" s="4" t="str">
        <f t="shared" si="1"/>
        <v/>
      </c>
      <c r="Q23" s="7"/>
      <c r="R23" s="1" t="s">
        <v>3</v>
      </c>
      <c r="S23" s="4" t="str">
        <f t="shared" si="2"/>
        <v/>
      </c>
      <c r="T23" s="7"/>
    </row>
    <row r="24" spans="1:20" x14ac:dyDescent="0.45">
      <c r="A24" s="2">
        <v>46221</v>
      </c>
      <c r="D24" s="4"/>
      <c r="E24" s="5"/>
      <c r="F24" s="6"/>
      <c r="G24" s="7"/>
      <c r="H24" s="7"/>
      <c r="I24" s="6"/>
      <c r="J24" s="7"/>
      <c r="K24" s="7"/>
      <c r="L24" s="1" t="s">
        <v>1</v>
      </c>
      <c r="M24" s="4" t="str">
        <f t="shared" si="0"/>
        <v/>
      </c>
      <c r="N24" s="7"/>
      <c r="O24" s="1" t="s">
        <v>2</v>
      </c>
      <c r="P24" s="4" t="str">
        <f t="shared" si="1"/>
        <v/>
      </c>
      <c r="Q24" s="7"/>
      <c r="R24" s="1" t="s">
        <v>3</v>
      </c>
      <c r="S24" s="4" t="str">
        <f t="shared" si="2"/>
        <v/>
      </c>
      <c r="T24" s="7"/>
    </row>
    <row r="25" spans="1:20" x14ac:dyDescent="0.45">
      <c r="A25" s="2">
        <v>46222</v>
      </c>
      <c r="D25" s="4"/>
      <c r="E25" s="5"/>
      <c r="F25" s="6"/>
      <c r="G25" s="7"/>
      <c r="H25" s="7"/>
      <c r="I25" s="6"/>
      <c r="J25" s="7"/>
      <c r="K25" s="7"/>
      <c r="L25" s="1" t="s">
        <v>1</v>
      </c>
      <c r="M25" s="4" t="str">
        <f t="shared" si="0"/>
        <v/>
      </c>
      <c r="N25" s="7"/>
      <c r="O25" s="1" t="s">
        <v>2</v>
      </c>
      <c r="P25" s="4" t="str">
        <f t="shared" si="1"/>
        <v/>
      </c>
      <c r="Q25" s="7"/>
      <c r="R25" s="1" t="s">
        <v>3</v>
      </c>
      <c r="S25" s="4" t="str">
        <f t="shared" si="2"/>
        <v/>
      </c>
      <c r="T25" s="7"/>
    </row>
    <row r="26" spans="1:20" x14ac:dyDescent="0.45">
      <c r="A26" s="2">
        <v>46223</v>
      </c>
      <c r="D26" s="4"/>
      <c r="E26" s="5"/>
      <c r="F26" s="6"/>
      <c r="G26" s="7"/>
      <c r="H26" s="7"/>
      <c r="I26" s="6"/>
      <c r="J26" s="7"/>
      <c r="K26" s="7"/>
      <c r="L26" s="1" t="s">
        <v>1</v>
      </c>
      <c r="M26" s="4" t="str">
        <f t="shared" si="0"/>
        <v/>
      </c>
      <c r="N26" s="7"/>
      <c r="O26" s="1" t="s">
        <v>2</v>
      </c>
      <c r="P26" s="4" t="str">
        <f t="shared" si="1"/>
        <v/>
      </c>
      <c r="Q26" s="7"/>
      <c r="R26" s="1" t="s">
        <v>3</v>
      </c>
      <c r="S26" s="4" t="str">
        <f t="shared" si="2"/>
        <v/>
      </c>
      <c r="T26" s="7"/>
    </row>
    <row r="27" spans="1:20" x14ac:dyDescent="0.45">
      <c r="A27" s="2">
        <v>46224</v>
      </c>
      <c r="D27" s="4"/>
      <c r="E27" s="5"/>
      <c r="F27" s="6"/>
      <c r="G27" s="7"/>
      <c r="H27" s="7"/>
      <c r="I27" s="6"/>
      <c r="J27" s="7"/>
      <c r="K27" s="7"/>
      <c r="L27" s="1" t="s">
        <v>1</v>
      </c>
      <c r="M27" s="4" t="str">
        <f t="shared" si="0"/>
        <v/>
      </c>
      <c r="N27" s="7"/>
      <c r="O27" s="1" t="s">
        <v>2</v>
      </c>
      <c r="P27" s="4" t="str">
        <f t="shared" si="1"/>
        <v/>
      </c>
      <c r="Q27" s="7"/>
      <c r="R27" s="1" t="s">
        <v>3</v>
      </c>
      <c r="S27" s="4" t="str">
        <f t="shared" si="2"/>
        <v/>
      </c>
      <c r="T27" s="7"/>
    </row>
    <row r="28" spans="1:20" x14ac:dyDescent="0.45">
      <c r="A28" s="2">
        <v>46225</v>
      </c>
      <c r="D28" s="4"/>
      <c r="E28" s="5"/>
      <c r="F28" s="6"/>
      <c r="G28" s="7"/>
      <c r="H28" s="7"/>
      <c r="I28" s="6"/>
      <c r="J28" s="7"/>
      <c r="K28" s="7"/>
      <c r="L28" s="1" t="s">
        <v>1</v>
      </c>
      <c r="M28" s="4" t="str">
        <f t="shared" si="0"/>
        <v/>
      </c>
      <c r="N28" s="7"/>
      <c r="O28" s="1" t="s">
        <v>2</v>
      </c>
      <c r="P28" s="4" t="str">
        <f t="shared" si="1"/>
        <v/>
      </c>
      <c r="Q28" s="7"/>
      <c r="R28" s="1" t="s">
        <v>3</v>
      </c>
      <c r="S28" s="4" t="str">
        <f t="shared" si="2"/>
        <v/>
      </c>
      <c r="T28" s="7"/>
    </row>
    <row r="29" spans="1:20" x14ac:dyDescent="0.45">
      <c r="A29" s="2">
        <v>46226</v>
      </c>
      <c r="D29" s="4"/>
      <c r="E29" s="5"/>
      <c r="F29" s="6"/>
      <c r="G29" s="7"/>
      <c r="H29" s="7"/>
      <c r="I29" s="6"/>
      <c r="J29" s="7"/>
      <c r="K29" s="7"/>
      <c r="L29" s="1" t="s">
        <v>1</v>
      </c>
      <c r="M29" s="4" t="str">
        <f t="shared" si="0"/>
        <v/>
      </c>
      <c r="N29" s="7"/>
      <c r="O29" s="1" t="s">
        <v>2</v>
      </c>
      <c r="P29" s="4" t="str">
        <f t="shared" si="1"/>
        <v/>
      </c>
      <c r="Q29" s="7"/>
      <c r="R29" s="1" t="s">
        <v>3</v>
      </c>
      <c r="S29" s="4" t="str">
        <f t="shared" si="2"/>
        <v/>
      </c>
      <c r="T29" s="7"/>
    </row>
    <row r="30" spans="1:20" x14ac:dyDescent="0.45">
      <c r="A30" s="2">
        <v>46227</v>
      </c>
      <c r="D30" s="4"/>
      <c r="E30" s="5"/>
      <c r="F30" s="6"/>
      <c r="G30" s="7"/>
      <c r="H30" s="7"/>
      <c r="I30" s="6"/>
      <c r="J30" s="7"/>
      <c r="K30" s="7"/>
      <c r="L30" s="1" t="s">
        <v>1</v>
      </c>
      <c r="M30" s="4" t="str">
        <f t="shared" si="0"/>
        <v/>
      </c>
      <c r="N30" s="7"/>
      <c r="O30" s="1" t="s">
        <v>2</v>
      </c>
      <c r="P30" s="4" t="str">
        <f t="shared" si="1"/>
        <v/>
      </c>
      <c r="Q30" s="7"/>
      <c r="R30" s="1" t="s">
        <v>3</v>
      </c>
      <c r="S30" s="4" t="str">
        <f t="shared" si="2"/>
        <v/>
      </c>
      <c r="T30" s="7"/>
    </row>
    <row r="31" spans="1:20" x14ac:dyDescent="0.45">
      <c r="A31" s="2">
        <v>46228</v>
      </c>
      <c r="D31" s="4"/>
      <c r="E31" s="5"/>
      <c r="F31" s="6"/>
      <c r="G31" s="7"/>
      <c r="H31" s="7"/>
      <c r="I31" s="6"/>
      <c r="J31" s="7"/>
      <c r="K31" s="7"/>
      <c r="L31" s="1" t="s">
        <v>1</v>
      </c>
      <c r="M31" s="4" t="str">
        <f t="shared" si="0"/>
        <v/>
      </c>
      <c r="N31" s="7"/>
      <c r="O31" s="1" t="s">
        <v>2</v>
      </c>
      <c r="P31" s="4" t="str">
        <f t="shared" si="1"/>
        <v/>
      </c>
      <c r="Q31" s="7"/>
      <c r="R31" s="1" t="s">
        <v>3</v>
      </c>
      <c r="S31" s="4" t="str">
        <f t="shared" si="2"/>
        <v/>
      </c>
      <c r="T31" s="7"/>
    </row>
    <row r="32" spans="1:20" x14ac:dyDescent="0.45">
      <c r="A32" s="2">
        <v>46229</v>
      </c>
      <c r="D32" s="4"/>
      <c r="E32" s="5"/>
      <c r="F32" s="6"/>
      <c r="G32" s="7"/>
      <c r="H32" s="7"/>
      <c r="I32" s="6"/>
      <c r="J32" s="7"/>
      <c r="K32" s="7"/>
      <c r="L32" s="1" t="s">
        <v>1</v>
      </c>
      <c r="M32" s="4" t="str">
        <f t="shared" si="0"/>
        <v/>
      </c>
      <c r="N32" s="7"/>
      <c r="O32" s="1" t="s">
        <v>2</v>
      </c>
      <c r="P32" s="4" t="str">
        <f t="shared" si="1"/>
        <v/>
      </c>
      <c r="Q32" s="7"/>
      <c r="R32" s="1" t="s">
        <v>3</v>
      </c>
      <c r="S32" s="4" t="str">
        <f t="shared" si="2"/>
        <v/>
      </c>
      <c r="T32" s="7"/>
    </row>
    <row r="33" spans="1:20" x14ac:dyDescent="0.45">
      <c r="A33" s="2">
        <v>46230</v>
      </c>
      <c r="D33" s="4"/>
      <c r="E33" s="5"/>
      <c r="F33" s="6"/>
      <c r="G33" s="7"/>
      <c r="H33" s="7"/>
      <c r="I33" s="6"/>
      <c r="J33" s="7"/>
      <c r="K33" s="7"/>
      <c r="L33" s="1" t="s">
        <v>1</v>
      </c>
      <c r="M33" s="4" t="str">
        <f t="shared" si="0"/>
        <v/>
      </c>
      <c r="N33" s="7"/>
      <c r="O33" s="1" t="s">
        <v>2</v>
      </c>
      <c r="P33" s="4" t="str">
        <f t="shared" si="1"/>
        <v/>
      </c>
      <c r="Q33" s="7"/>
      <c r="R33" s="1" t="s">
        <v>3</v>
      </c>
      <c r="S33" s="4" t="str">
        <f t="shared" si="2"/>
        <v/>
      </c>
      <c r="T33" s="7"/>
    </row>
    <row r="34" spans="1:20" x14ac:dyDescent="0.45">
      <c r="A34" s="2">
        <v>46231</v>
      </c>
      <c r="D34" s="4"/>
      <c r="E34" s="5"/>
      <c r="F34" s="6"/>
      <c r="G34" s="7"/>
      <c r="H34" s="7"/>
      <c r="I34" s="6"/>
      <c r="J34" s="7"/>
      <c r="K34" s="7"/>
      <c r="L34" s="1" t="s">
        <v>1</v>
      </c>
      <c r="M34" s="4" t="str">
        <f t="shared" si="0"/>
        <v/>
      </c>
      <c r="N34" s="7"/>
      <c r="O34" s="1" t="s">
        <v>2</v>
      </c>
      <c r="P34" s="4" t="str">
        <f t="shared" si="1"/>
        <v/>
      </c>
      <c r="Q34" s="7"/>
      <c r="R34" s="1" t="s">
        <v>3</v>
      </c>
      <c r="S34" s="4" t="str">
        <f t="shared" si="2"/>
        <v/>
      </c>
      <c r="T34" s="7"/>
    </row>
    <row r="35" spans="1:20" x14ac:dyDescent="0.45">
      <c r="A35" s="2">
        <v>46232</v>
      </c>
      <c r="D35" s="4"/>
      <c r="E35" s="5"/>
      <c r="F35" s="6"/>
      <c r="G35" s="7"/>
      <c r="H35" s="7"/>
      <c r="I35" s="6"/>
      <c r="J35" s="7"/>
      <c r="K35" s="7"/>
      <c r="L35" s="1" t="s">
        <v>1</v>
      </c>
      <c r="M35" s="4" t="str">
        <f t="shared" si="0"/>
        <v/>
      </c>
      <c r="N35" s="7"/>
      <c r="O35" s="1" t="s">
        <v>2</v>
      </c>
      <c r="P35" s="4" t="str">
        <f t="shared" si="1"/>
        <v/>
      </c>
      <c r="Q35" s="7"/>
      <c r="R35" s="1" t="s">
        <v>3</v>
      </c>
      <c r="S35" s="4" t="str">
        <f t="shared" si="2"/>
        <v/>
      </c>
      <c r="T35" s="7"/>
    </row>
    <row r="36" spans="1:20" x14ac:dyDescent="0.45">
      <c r="A36" s="2">
        <v>46233</v>
      </c>
      <c r="D36" s="4"/>
      <c r="E36" s="5"/>
      <c r="F36" s="6"/>
      <c r="G36" s="7"/>
      <c r="H36" s="7"/>
      <c r="I36" s="6"/>
      <c r="J36" s="7"/>
      <c r="K36" s="7"/>
      <c r="L36" s="1" t="s">
        <v>1</v>
      </c>
      <c r="M36" s="4" t="str">
        <f t="shared" si="0"/>
        <v/>
      </c>
      <c r="N36" s="7"/>
      <c r="O36" s="1" t="s">
        <v>2</v>
      </c>
      <c r="P36" s="4" t="str">
        <f t="shared" si="1"/>
        <v/>
      </c>
      <c r="Q36" s="7"/>
      <c r="R36" s="1" t="s">
        <v>3</v>
      </c>
      <c r="S36" s="4" t="str">
        <f t="shared" si="2"/>
        <v/>
      </c>
      <c r="T36" s="7"/>
    </row>
    <row r="37" spans="1:20" x14ac:dyDescent="0.45">
      <c r="A37" s="2">
        <v>46234</v>
      </c>
      <c r="D37" s="4"/>
      <c r="E37" s="5"/>
      <c r="F37" s="6"/>
      <c r="G37" s="7"/>
      <c r="H37" s="7"/>
      <c r="I37" s="6"/>
      <c r="J37" s="7"/>
      <c r="K37" s="7"/>
      <c r="L37" s="1" t="s">
        <v>1</v>
      </c>
      <c r="M37" s="4" t="str">
        <f t="shared" si="0"/>
        <v/>
      </c>
      <c r="N37" s="7"/>
      <c r="O37" s="1" t="s">
        <v>2</v>
      </c>
      <c r="P37" s="4" t="str">
        <f t="shared" si="1"/>
        <v/>
      </c>
      <c r="Q37" s="7"/>
      <c r="R37" s="1" t="s">
        <v>3</v>
      </c>
      <c r="S37" s="4" t="str">
        <f t="shared" si="2"/>
        <v/>
      </c>
      <c r="T37" s="7"/>
    </row>
  </sheetData>
  <mergeCells count="208">
    <mergeCell ref="S36:T36"/>
    <mergeCell ref="I30:K30"/>
    <mergeCell ref="C5:C6"/>
    <mergeCell ref="P18:Q18"/>
    <mergeCell ref="D8:E8"/>
    <mergeCell ref="I11:K11"/>
    <mergeCell ref="F10:H10"/>
    <mergeCell ref="F19:H19"/>
    <mergeCell ref="S29:T29"/>
    <mergeCell ref="M32:N32"/>
    <mergeCell ref="M14:N14"/>
    <mergeCell ref="S31:T31"/>
    <mergeCell ref="A1:B2"/>
    <mergeCell ref="I15:K15"/>
    <mergeCell ref="M26:N26"/>
    <mergeCell ref="D12:E12"/>
    <mergeCell ref="F34:H34"/>
    <mergeCell ref="D25:E25"/>
    <mergeCell ref="F16:H16"/>
    <mergeCell ref="D30:E30"/>
    <mergeCell ref="P12:Q12"/>
    <mergeCell ref="M29:N29"/>
    <mergeCell ref="M23:N23"/>
    <mergeCell ref="C1:D2"/>
    <mergeCell ref="E1:F2"/>
    <mergeCell ref="D14:E14"/>
    <mergeCell ref="I26:K26"/>
    <mergeCell ref="F30:H30"/>
    <mergeCell ref="I7:K7"/>
    <mergeCell ref="F20:H20"/>
    <mergeCell ref="I16:K16"/>
    <mergeCell ref="P29:Q29"/>
    <mergeCell ref="I18:K18"/>
    <mergeCell ref="P31:Q31"/>
    <mergeCell ref="D21:E21"/>
    <mergeCell ref="I33:K33"/>
    <mergeCell ref="S37:T37"/>
    <mergeCell ref="F37:H37"/>
    <mergeCell ref="I29:K29"/>
    <mergeCell ref="D17:E17"/>
    <mergeCell ref="P17:Q17"/>
    <mergeCell ref="M15:N15"/>
    <mergeCell ref="M12:N12"/>
    <mergeCell ref="I13:K13"/>
    <mergeCell ref="F5:H6"/>
    <mergeCell ref="M37:N37"/>
    <mergeCell ref="I31:K31"/>
    <mergeCell ref="L5:T6"/>
    <mergeCell ref="D28:E28"/>
    <mergeCell ref="P19:Q19"/>
    <mergeCell ref="S32:T32"/>
    <mergeCell ref="S26:T26"/>
    <mergeCell ref="S16:T16"/>
    <mergeCell ref="S25:T25"/>
    <mergeCell ref="S27:T27"/>
    <mergeCell ref="S18:T18"/>
    <mergeCell ref="S8:T8"/>
    <mergeCell ref="S17:T17"/>
    <mergeCell ref="F28:H28"/>
    <mergeCell ref="S11:T11"/>
    <mergeCell ref="D37:E37"/>
    <mergeCell ref="S24:T24"/>
    <mergeCell ref="P28:Q28"/>
    <mergeCell ref="S33:T33"/>
    <mergeCell ref="M27:N27"/>
    <mergeCell ref="P37:Q37"/>
    <mergeCell ref="F29:H29"/>
    <mergeCell ref="D9:E9"/>
    <mergeCell ref="F11:H11"/>
    <mergeCell ref="F25:H25"/>
    <mergeCell ref="M24:N24"/>
    <mergeCell ref="P30:Q30"/>
    <mergeCell ref="D15:E15"/>
    <mergeCell ref="I27:K27"/>
    <mergeCell ref="D29:E29"/>
    <mergeCell ref="D23:E23"/>
    <mergeCell ref="P14:Q14"/>
    <mergeCell ref="F15:H15"/>
    <mergeCell ref="I25:K25"/>
    <mergeCell ref="F24:H24"/>
    <mergeCell ref="M34:N34"/>
    <mergeCell ref="F32:H32"/>
    <mergeCell ref="F26:H26"/>
    <mergeCell ref="M9:N9"/>
    <mergeCell ref="G1:H2"/>
    <mergeCell ref="S23:T23"/>
    <mergeCell ref="D5:E6"/>
    <mergeCell ref="P36:Q36"/>
    <mergeCell ref="P11:Q11"/>
    <mergeCell ref="S13:T13"/>
    <mergeCell ref="M13:N13"/>
    <mergeCell ref="M7:N7"/>
    <mergeCell ref="M21:N21"/>
    <mergeCell ref="S15:T15"/>
    <mergeCell ref="G3:H4"/>
    <mergeCell ref="I3:J4"/>
    <mergeCell ref="I2:J2"/>
    <mergeCell ref="F23:H23"/>
    <mergeCell ref="M2:N2"/>
    <mergeCell ref="M11:N11"/>
    <mergeCell ref="F13:H13"/>
    <mergeCell ref="D27:E27"/>
    <mergeCell ref="S14:T14"/>
    <mergeCell ref="S28:T28"/>
    <mergeCell ref="P27:Q27"/>
    <mergeCell ref="I20:K20"/>
    <mergeCell ref="M31:N31"/>
    <mergeCell ref="P21:Q21"/>
    <mergeCell ref="I37:K37"/>
    <mergeCell ref="P10:Q10"/>
    <mergeCell ref="F35:H35"/>
    <mergeCell ref="P25:Q25"/>
    <mergeCell ref="I12:K12"/>
    <mergeCell ref="I21:K21"/>
    <mergeCell ref="P34:Q34"/>
    <mergeCell ref="P9:Q9"/>
    <mergeCell ref="I14:K14"/>
    <mergeCell ref="F27:H27"/>
    <mergeCell ref="I23:K23"/>
    <mergeCell ref="M20:N20"/>
    <mergeCell ref="I35:K35"/>
    <mergeCell ref="P23:Q23"/>
    <mergeCell ref="M22:N22"/>
    <mergeCell ref="I19:K19"/>
    <mergeCell ref="M30:N30"/>
    <mergeCell ref="P16:Q16"/>
    <mergeCell ref="M28:N28"/>
    <mergeCell ref="I9:K9"/>
    <mergeCell ref="A3:B4"/>
    <mergeCell ref="D35:E35"/>
    <mergeCell ref="S22:T22"/>
    <mergeCell ref="P26:Q26"/>
    <mergeCell ref="D10:E10"/>
    <mergeCell ref="P35:Q35"/>
    <mergeCell ref="I22:K22"/>
    <mergeCell ref="I28:K28"/>
    <mergeCell ref="M3:N4"/>
    <mergeCell ref="D34:E34"/>
    <mergeCell ref="D19:E19"/>
    <mergeCell ref="S12:T12"/>
    <mergeCell ref="D11:E11"/>
    <mergeCell ref="P8:Q8"/>
    <mergeCell ref="D32:E32"/>
    <mergeCell ref="C3:D4"/>
    <mergeCell ref="A5:A6"/>
    <mergeCell ref="D16:E16"/>
    <mergeCell ref="E3:F4"/>
    <mergeCell ref="S34:T34"/>
    <mergeCell ref="P7:Q7"/>
    <mergeCell ref="D18:E18"/>
    <mergeCell ref="B5:B6"/>
    <mergeCell ref="S20:T20"/>
    <mergeCell ref="P24:Q24"/>
    <mergeCell ref="I5:K6"/>
    <mergeCell ref="P33:Q33"/>
    <mergeCell ref="M19:N19"/>
    <mergeCell ref="F12:H12"/>
    <mergeCell ref="F7:H7"/>
    <mergeCell ref="D26:E26"/>
    <mergeCell ref="F21:H21"/>
    <mergeCell ref="S7:T7"/>
    <mergeCell ref="F31:H31"/>
    <mergeCell ref="D13:E13"/>
    <mergeCell ref="M10:N10"/>
    <mergeCell ref="I8:K8"/>
    <mergeCell ref="I1:N1"/>
    <mergeCell ref="I17:K17"/>
    <mergeCell ref="F9:H9"/>
    <mergeCell ref="M16:N16"/>
    <mergeCell ref="K3:L4"/>
    <mergeCell ref="M25:N25"/>
    <mergeCell ref="I10:K10"/>
    <mergeCell ref="D7:E7"/>
    <mergeCell ref="S10:T10"/>
    <mergeCell ref="F14:H14"/>
    <mergeCell ref="S19:T19"/>
    <mergeCell ref="K2:L2"/>
    <mergeCell ref="M18:N18"/>
    <mergeCell ref="P13:Q13"/>
    <mergeCell ref="S9:T9"/>
    <mergeCell ref="M8:N8"/>
    <mergeCell ref="M17:N17"/>
    <mergeCell ref="S30:T30"/>
    <mergeCell ref="D24:E24"/>
    <mergeCell ref="D20:E20"/>
    <mergeCell ref="I32:K32"/>
    <mergeCell ref="F36:H36"/>
    <mergeCell ref="F18:H18"/>
    <mergeCell ref="F33:H33"/>
    <mergeCell ref="S21:T21"/>
    <mergeCell ref="P20:Q20"/>
    <mergeCell ref="F8:H8"/>
    <mergeCell ref="F17:H17"/>
    <mergeCell ref="D22:E22"/>
    <mergeCell ref="D36:E36"/>
    <mergeCell ref="D31:E31"/>
    <mergeCell ref="P22:Q22"/>
    <mergeCell ref="I24:K24"/>
    <mergeCell ref="M35:N35"/>
    <mergeCell ref="F22:H22"/>
    <mergeCell ref="P32:Q32"/>
    <mergeCell ref="M36:N36"/>
    <mergeCell ref="M33:N33"/>
    <mergeCell ref="I34:K34"/>
    <mergeCell ref="S35:T35"/>
    <mergeCell ref="I36:K36"/>
    <mergeCell ref="D33:E33"/>
    <mergeCell ref="P15:Q15"/>
  </mergeCells>
  <phoneticPr fontId="1"/>
  <dataValidations count="2">
    <dataValidation type="list" allowBlank="1" showInputMessage="1" showErrorMessage="1" promptTitle="支出先を選択" prompt="&quot;銀行からQRへ&quot;:[銀行]　を選択" sqref="B7:B37" xr:uid="{00000000-0002-0000-0000-000000000000}">
      <formula1>"現金,銀行,QR"</formula1>
    </dataValidation>
    <dataValidation type="list" allowBlank="1" showInputMessage="1" showErrorMessage="1" promptTitle="収入先を選択" prompt="&quot;銀行からQRへ&quot;:[QR]　を選択" sqref="C7:C37" xr:uid="{00000000-0002-0000-0000-000001000000}">
      <formula1>"現金,銀行,QR"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2026-07-07T13:52:06Z</dcterms:created>
  <dcterms:modified xsi:type="dcterms:W3CDTF">2026-07-07T15:01:39Z</dcterms:modified>
</cp:coreProperties>
</file>