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エクセル\"/>
    </mc:Choice>
  </mc:AlternateContent>
  <xr:revisionPtr revIDLastSave="0" documentId="8_{5D8C6D62-16A4-44E0-956B-62FB51B94B7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1" r:id="rId1"/>
    <sheet name="取引履歴" sheetId="2" r:id="rId2"/>
    <sheet name="固定収支" sheetId="3" r:id="rId3"/>
    <sheet name="サブスク" sheetId="4" r:id="rId4"/>
    <sheet name="レポート" sheetId="5" r:id="rId5"/>
    <sheet name="スナップショット" sheetId="6" r:id="rId6"/>
    <sheet name="マスタ" sheetId="7" r:id="rId7"/>
    <sheet name="設定" sheetId="8" r:id="rId8"/>
  </sheets>
  <functionGroups builtInGroupCount="19"/>
  <definedNames>
    <definedName name="カテゴリリスト">T_Category[カテゴリ]</definedName>
    <definedName name="バックアップ先">設定!$C$9</definedName>
    <definedName name="口座リスト">T_Account[口座名]</definedName>
    <definedName name="残高不足チェック">設定!$C$7</definedName>
    <definedName name="支払方法リスト">T_Pay[支払方法]</definedName>
    <definedName name="自動バックアップ">設定!$C$8</definedName>
    <definedName name="種類リスト">マスタ!$L$5:$L$7</definedName>
    <definedName name="集計開始年月">設定!$C$6</definedName>
    <definedName name="対象年月">設定!$C$5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7" l="1"/>
  <c r="F7" i="6" s="1"/>
  <c r="E7" i="7"/>
  <c r="E7" i="6" s="1"/>
  <c r="E6" i="7"/>
  <c r="D7" i="6" s="1"/>
  <c r="B7" i="6"/>
  <c r="B49" i="5"/>
  <c r="B48" i="5"/>
  <c r="C48" i="5" s="1"/>
  <c r="E48" i="5" s="1"/>
  <c r="B47" i="5"/>
  <c r="C47" i="5" s="1"/>
  <c r="E47" i="5" s="1"/>
  <c r="B46" i="5"/>
  <c r="B45" i="5"/>
  <c r="C45" i="5" s="1"/>
  <c r="E45" i="5" s="1"/>
  <c r="B44" i="5"/>
  <c r="C44" i="5" s="1"/>
  <c r="B43" i="5"/>
  <c r="C42" i="5"/>
  <c r="E42" i="5" s="1"/>
  <c r="B42" i="5"/>
  <c r="B41" i="5"/>
  <c r="B40" i="5"/>
  <c r="I39" i="5"/>
  <c r="J39" i="5" s="1"/>
  <c r="K39" i="5" s="1"/>
  <c r="B39" i="5"/>
  <c r="I38" i="5"/>
  <c r="J38" i="5" s="1"/>
  <c r="K38" i="5" s="1"/>
  <c r="B38" i="5"/>
  <c r="C38" i="5" s="1"/>
  <c r="E38" i="5" s="1"/>
  <c r="I37" i="5"/>
  <c r="B37" i="5"/>
  <c r="I36" i="5"/>
  <c r="J36" i="5" s="1"/>
  <c r="C36" i="5"/>
  <c r="E36" i="5" s="1"/>
  <c r="B36" i="5"/>
  <c r="J35" i="5"/>
  <c r="K35" i="5" s="1"/>
  <c r="I35" i="5"/>
  <c r="B35" i="5"/>
  <c r="I34" i="5"/>
  <c r="B34" i="5"/>
  <c r="I33" i="5"/>
  <c r="B33" i="5"/>
  <c r="B29" i="5"/>
  <c r="G29" i="5" s="1"/>
  <c r="B28" i="5"/>
  <c r="G28" i="5" s="1"/>
  <c r="G27" i="5"/>
  <c r="B27" i="5"/>
  <c r="B26" i="5"/>
  <c r="G26" i="5" s="1"/>
  <c r="B25" i="5"/>
  <c r="G25" i="5" s="1"/>
  <c r="B24" i="5"/>
  <c r="G24" i="5" s="1"/>
  <c r="B23" i="5"/>
  <c r="C23" i="5" s="1"/>
  <c r="B22" i="5"/>
  <c r="G22" i="5" s="1"/>
  <c r="G21" i="5"/>
  <c r="B21" i="5"/>
  <c r="B20" i="5"/>
  <c r="G20" i="5" s="1"/>
  <c r="B19" i="5"/>
  <c r="G19" i="5" s="1"/>
  <c r="B18" i="5"/>
  <c r="G18" i="5" s="1"/>
  <c r="B17" i="5"/>
  <c r="C17" i="5" s="1"/>
  <c r="B16" i="5"/>
  <c r="G16" i="5" s="1"/>
  <c r="G15" i="5"/>
  <c r="B15" i="5"/>
  <c r="B14" i="5"/>
  <c r="G14" i="5" s="1"/>
  <c r="B13" i="5"/>
  <c r="G13" i="5" s="1"/>
  <c r="B12" i="5"/>
  <c r="B11" i="5"/>
  <c r="C11" i="5" s="1"/>
  <c r="B10" i="5"/>
  <c r="G10" i="5" s="1"/>
  <c r="C9" i="5"/>
  <c r="B9" i="5"/>
  <c r="I8" i="5"/>
  <c r="B8" i="5"/>
  <c r="I7" i="5"/>
  <c r="B7" i="5"/>
  <c r="I6" i="5"/>
  <c r="B6" i="5"/>
  <c r="H4" i="4"/>
  <c r="E4" i="4"/>
  <c r="H4" i="3"/>
  <c r="E4" i="3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B11" i="1" s="1"/>
  <c r="J12" i="2"/>
  <c r="J11" i="2"/>
  <c r="J10" i="2"/>
  <c r="J9" i="2"/>
  <c r="J8" i="2"/>
  <c r="K7" i="5" s="1"/>
  <c r="J7" i="2"/>
  <c r="J16" i="1"/>
  <c r="F16" i="1"/>
  <c r="B16" i="1"/>
  <c r="J11" i="1"/>
  <c r="J6" i="1"/>
  <c r="F6" i="1"/>
  <c r="B3" i="1"/>
  <c r="D6" i="5" l="1"/>
  <c r="G17" i="5"/>
  <c r="G23" i="5"/>
  <c r="J6" i="5"/>
  <c r="D37" i="5"/>
  <c r="J37" i="5"/>
  <c r="D7" i="5"/>
  <c r="C19" i="5"/>
  <c r="C25" i="5"/>
  <c r="D34" i="5"/>
  <c r="D33" i="5"/>
  <c r="C13" i="5"/>
  <c r="D47" i="5"/>
  <c r="J34" i="5"/>
  <c r="D40" i="5"/>
  <c r="D49" i="5"/>
  <c r="C29" i="5"/>
  <c r="D35" i="5"/>
  <c r="D8" i="5"/>
  <c r="C8" i="5"/>
  <c r="C41" i="5"/>
  <c r="D11" i="5"/>
  <c r="E11" i="5" s="1"/>
  <c r="F11" i="5" s="1"/>
  <c r="G6" i="5"/>
  <c r="D45" i="5"/>
  <c r="K8" i="5"/>
  <c r="C15" i="5"/>
  <c r="C21" i="5"/>
  <c r="C27" i="5"/>
  <c r="D46" i="5"/>
  <c r="C37" i="5"/>
  <c r="D9" i="5"/>
  <c r="E9" i="5" s="1"/>
  <c r="F9" i="5" s="1"/>
  <c r="D43" i="5"/>
  <c r="E8" i="5"/>
  <c r="F8" i="5" s="1"/>
  <c r="C7" i="5"/>
  <c r="E7" i="5" s="1"/>
  <c r="F7" i="5" s="1"/>
  <c r="G9" i="5"/>
  <c r="G11" i="5"/>
  <c r="C6" i="5"/>
  <c r="E6" i="5" s="1"/>
  <c r="F6" i="5" s="1"/>
  <c r="G8" i="5"/>
  <c r="C10" i="5"/>
  <c r="C12" i="5"/>
  <c r="C14" i="5"/>
  <c r="C16" i="5"/>
  <c r="C18" i="5"/>
  <c r="C20" i="5"/>
  <c r="C22" i="5"/>
  <c r="C24" i="5"/>
  <c r="C26" i="5"/>
  <c r="C28" i="5"/>
  <c r="C33" i="5"/>
  <c r="E33" i="5" s="1"/>
  <c r="D38" i="5"/>
  <c r="B17" i="1"/>
  <c r="F17" i="1"/>
  <c r="D10" i="5"/>
  <c r="D12" i="5"/>
  <c r="D14" i="5"/>
  <c r="D16" i="5"/>
  <c r="D18" i="5"/>
  <c r="D20" i="5"/>
  <c r="D22" i="5"/>
  <c r="D24" i="5"/>
  <c r="D26" i="5"/>
  <c r="D28" i="5"/>
  <c r="C40" i="5"/>
  <c r="E40" i="5" s="1"/>
  <c r="C43" i="5"/>
  <c r="C46" i="5"/>
  <c r="E46" i="5" s="1"/>
  <c r="C49" i="5"/>
  <c r="E49" i="5" s="1"/>
  <c r="D42" i="5"/>
  <c r="J17" i="1"/>
  <c r="G7" i="5"/>
  <c r="J8" i="5"/>
  <c r="L8" i="5" s="1"/>
  <c r="C35" i="5"/>
  <c r="E35" i="5" s="1"/>
  <c r="D36" i="5"/>
  <c r="B6" i="1"/>
  <c r="J7" i="5"/>
  <c r="L7" i="5" s="1"/>
  <c r="J33" i="5"/>
  <c r="K33" i="5" s="1"/>
  <c r="C7" i="6"/>
  <c r="G12" i="5" s="1"/>
  <c r="C39" i="5"/>
  <c r="D41" i="5"/>
  <c r="D44" i="5"/>
  <c r="K6" i="5"/>
  <c r="L6" i="5" s="1"/>
  <c r="D13" i="5"/>
  <c r="D15" i="5"/>
  <c r="E15" i="5" s="1"/>
  <c r="F15" i="5" s="1"/>
  <c r="D19" i="5"/>
  <c r="E19" i="5" s="1"/>
  <c r="F19" i="5" s="1"/>
  <c r="D23" i="5"/>
  <c r="E23" i="5" s="1"/>
  <c r="F23" i="5" s="1"/>
  <c r="D29" i="5"/>
  <c r="E29" i="5" s="1"/>
  <c r="F29" i="5" s="1"/>
  <c r="C34" i="5"/>
  <c r="E34" i="5" s="1"/>
  <c r="D39" i="5"/>
  <c r="F11" i="1"/>
  <c r="D17" i="5"/>
  <c r="E17" i="5" s="1"/>
  <c r="F17" i="5" s="1"/>
  <c r="D21" i="5"/>
  <c r="E21" i="5" s="1"/>
  <c r="F21" i="5" s="1"/>
  <c r="D25" i="5"/>
  <c r="E25" i="5" s="1"/>
  <c r="F25" i="5" s="1"/>
  <c r="D27" i="5"/>
  <c r="E27" i="5" s="1"/>
  <c r="F27" i="5" s="1"/>
  <c r="D48" i="5"/>
  <c r="E13" i="5" l="1"/>
  <c r="F13" i="5" s="1"/>
  <c r="E16" i="5"/>
  <c r="F16" i="5" s="1"/>
  <c r="E28" i="5"/>
  <c r="F28" i="5" s="1"/>
  <c r="E26" i="5"/>
  <c r="F26" i="5" s="1"/>
  <c r="E24" i="5"/>
  <c r="F24" i="5" s="1"/>
  <c r="K37" i="5"/>
  <c r="E22" i="5"/>
  <c r="F22" i="5" s="1"/>
  <c r="E37" i="5"/>
  <c r="E20" i="5"/>
  <c r="F20" i="5" s="1"/>
  <c r="E18" i="5"/>
  <c r="F18" i="5" s="1"/>
  <c r="E39" i="5"/>
  <c r="E14" i="5"/>
  <c r="F14" i="5" s="1"/>
  <c r="E41" i="5"/>
  <c r="K36" i="5"/>
  <c r="E43" i="5"/>
  <c r="E12" i="5"/>
  <c r="F12" i="5" s="1"/>
  <c r="E10" i="5"/>
  <c r="F10" i="5" s="1"/>
  <c r="K34" i="5"/>
  <c r="E44" i="5"/>
</calcChain>
</file>

<file path=xl/sharedStrings.xml><?xml version="1.0" encoding="utf-8"?>
<sst xmlns="http://schemas.openxmlformats.org/spreadsheetml/2006/main" count="259" uniqueCount="132">
  <si>
    <t>資産ダッシュボード</t>
  </si>
  <si>
    <t>総資産</t>
  </si>
  <si>
    <t>今月収入</t>
  </si>
  <si>
    <t>今月支出</t>
  </si>
  <si>
    <t>今月収支</t>
  </si>
  <si>
    <t>今月の貯蓄率</t>
  </si>
  <si>
    <t>固定支出/月</t>
  </si>
  <si>
    <t>■ 口座別残高</t>
  </si>
  <si>
    <t>取引履歴</t>
  </si>
  <si>
    <t>すべての残高・集計・グラフの元データ。1行=1取引</t>
  </si>
  <si>
    <t>日付</t>
  </si>
  <si>
    <t>種類</t>
  </si>
  <si>
    <t>出金元</t>
  </si>
  <si>
    <t>入金先</t>
  </si>
  <si>
    <t>金額</t>
  </si>
  <si>
    <t>カテゴリ</t>
  </si>
  <si>
    <t>支払方法</t>
  </si>
  <si>
    <t>メモ</t>
  </si>
  <si>
    <t>年月</t>
  </si>
  <si>
    <t>収入</t>
  </si>
  <si>
    <t>銀行</t>
  </si>
  <si>
    <t>給与</t>
  </si>
  <si>
    <t>銀行振込</t>
  </si>
  <si>
    <t>7月給与</t>
  </si>
  <si>
    <t>QR</t>
  </si>
  <si>
    <t>副業</t>
  </si>
  <si>
    <t>QR決済</t>
  </si>
  <si>
    <t>ポイント収入</t>
  </si>
  <si>
    <t>支出</t>
  </si>
  <si>
    <t>住居</t>
  </si>
  <si>
    <t>口座引落</t>
  </si>
  <si>
    <t>家賃</t>
  </si>
  <si>
    <t>現金</t>
  </si>
  <si>
    <t>食費</t>
  </si>
  <si>
    <t>スーパー</t>
  </si>
  <si>
    <t>コンビニ</t>
  </si>
  <si>
    <t>通信</t>
  </si>
  <si>
    <t>携帯料金</t>
  </si>
  <si>
    <t>娯楽</t>
  </si>
  <si>
    <t>映画</t>
  </si>
  <si>
    <t>ランチ</t>
  </si>
  <si>
    <t>交際</t>
  </si>
  <si>
    <t>クレジット</t>
  </si>
  <si>
    <t>飲み会</t>
  </si>
  <si>
    <t>振替</t>
  </si>
  <si>
    <t>ATM出金</t>
  </si>
  <si>
    <t>固定収支</t>
  </si>
  <si>
    <t>毎月の定期的な収入・支出。ボタンで当月の取引履歴へ一括反映</t>
  </si>
  <si>
    <t>▶ 今月へ反映</t>
  </si>
  <si>
    <t>固定支出/月:</t>
  </si>
  <si>
    <t>固定収入/月:</t>
  </si>
  <si>
    <t>名称</t>
  </si>
  <si>
    <t>支払日</t>
  </si>
  <si>
    <t>口座</t>
  </si>
  <si>
    <t>有効</t>
  </si>
  <si>
    <t>ON</t>
  </si>
  <si>
    <t>月給</t>
  </si>
  <si>
    <t>電気代</t>
  </si>
  <si>
    <t>水道光熱</t>
  </si>
  <si>
    <t>携帯代</t>
  </si>
  <si>
    <t>保険</t>
  </si>
  <si>
    <t>OFF</t>
  </si>
  <si>
    <t>見直し中</t>
  </si>
  <si>
    <t>サブスク</t>
  </si>
  <si>
    <t>定期課金の管理。有効なものを当月の取引履歴へ反映</t>
  </si>
  <si>
    <t>有効サブスク/月:</t>
  </si>
  <si>
    <t>契約数(有効):</t>
  </si>
  <si>
    <t>開始日</t>
  </si>
  <si>
    <t>Netflix</t>
  </si>
  <si>
    <t>動画</t>
  </si>
  <si>
    <t>Spotify</t>
  </si>
  <si>
    <t>音楽</t>
  </si>
  <si>
    <t>クラウド</t>
  </si>
  <si>
    <t>解約検討</t>
  </si>
  <si>
    <t>レポート</t>
  </si>
  <si>
    <t>月次サマリ・年間履歴・カテゴリ/支払方法ランキング（グラフの元データ）</t>
  </si>
  <si>
    <t>■ 月次サマリ</t>
  </si>
  <si>
    <t>■ 年間履歴</t>
  </si>
  <si>
    <t>収支</t>
  </si>
  <si>
    <t>貯蓄率</t>
  </si>
  <si>
    <t>月末総資産</t>
  </si>
  <si>
    <t>年</t>
  </si>
  <si>
    <t>年間収入</t>
  </si>
  <si>
    <t>年間支出</t>
  </si>
  <si>
    <t>年間貯蓄</t>
  </si>
  <si>
    <t>■ カテゴリ別支出ランキング</t>
  </si>
  <si>
    <t>■ 支払方法別ランキング</t>
  </si>
  <si>
    <t>当月支出</t>
  </si>
  <si>
    <t>当年支出</t>
  </si>
  <si>
    <t>順位</t>
  </si>
  <si>
    <t>スナップショット</t>
  </si>
  <si>
    <t>月末ごとの資産残高。VBA『月末保存』で追記され資産推移グラフの元になる</t>
  </si>
  <si>
    <t>マスタ</t>
  </si>
  <si>
    <t>口座・カテゴリ・支払方法・種類の一元管理（ここを編集すれば全シートに反映）</t>
  </si>
  <si>
    <t>■ 口座</t>
  </si>
  <si>
    <t>■ カテゴリ</t>
  </si>
  <si>
    <t>■ 支払方法</t>
  </si>
  <si>
    <t>■ 種類</t>
  </si>
  <si>
    <t>口座名</t>
  </si>
  <si>
    <t>初期残高</t>
  </si>
  <si>
    <t>表示順</t>
  </si>
  <si>
    <t>現在残高</t>
  </si>
  <si>
    <t>区分</t>
  </si>
  <si>
    <t>賞与</t>
  </si>
  <si>
    <t>その他収入</t>
  </si>
  <si>
    <t>日用品</t>
  </si>
  <si>
    <t>デビット</t>
  </si>
  <si>
    <t>電子マネー</t>
  </si>
  <si>
    <t>交通</t>
  </si>
  <si>
    <t>医療</t>
  </si>
  <si>
    <t>教育</t>
  </si>
  <si>
    <t>その他支出</t>
  </si>
  <si>
    <t>設定</t>
  </si>
  <si>
    <t>システム全体の基準値。数式・VBA が参照する定数の置き場</t>
  </si>
  <si>
    <t>■ 基本設定</t>
  </si>
  <si>
    <t>対象年月</t>
  </si>
  <si>
    <t>2026-07</t>
  </si>
  <si>
    <t>ダッシュボード・当月集計の基準（yyyy-mm）</t>
  </si>
  <si>
    <t>集計開始年月</t>
  </si>
  <si>
    <t>2026-01</t>
  </si>
  <si>
    <t>レポート月次サマリの開始月（yyyy-mm）</t>
  </si>
  <si>
    <t>残高不足チェック</t>
  </si>
  <si>
    <t>出金時に残高不足を拒否するか（ON/OFF）</t>
  </si>
  <si>
    <t>自動バックアップ</t>
  </si>
  <si>
    <t>保存前に自動バックアップするか（ON/OFF）</t>
  </si>
  <si>
    <t>バックアップ先</t>
  </si>
  <si>
    <t>backup</t>
  </si>
  <si>
    <t>バックアップ保存フォルダ（相対 or 絶対パス）</t>
  </si>
  <si>
    <t>アプリ名</t>
  </si>
  <si>
    <t>個人資産管理システム</t>
  </si>
  <si>
    <t>バージョン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</si>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</sst>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7" formatCode="yyyy/mm/dd"/>
    <numFmt numFmtId="178" formatCode="\¥#,##0"/>
    <numFmt numFmtId="179" formatCode="yyyy\-mm"/>
    <numFmt numFmtId="180" formatCode="\¥#,##0;[Red]\-\¥#,##0"/>
    <numFmt numFmtId="181" formatCode="0.0%"/>
  </numFmts>
  <fonts count="20" x14ac:knownFonts="1">
    <font>
      <sz val="11"/>
      <color theme="1"/>
      <name val="ＭＳ Ｐゴシック"/>
      <family val="2"/>
      <scheme val="minor"/>
    </font>
    <font>
      <sz val="11"/>
      <color rgb="FFCDD6F4"/>
      <name val="Yu Gothic UI"/>
      <family val="3"/>
      <charset val="128"/>
    </font>
    <font>
      <b/>
      <sz val="20"/>
      <color rgb="FFCDD6F4"/>
      <name val="Yu Gothic UI"/>
      <family val="3"/>
      <charset val="128"/>
    </font>
    <font>
      <sz val="10"/>
      <color rgb="FFA6ADC8"/>
      <name val="Yu Gothic UI"/>
      <family val="3"/>
      <charset val="128"/>
    </font>
    <font>
      <b/>
      <sz val="11"/>
      <color rgb="FFCDD6F4"/>
      <name val="Yu Gothic UI"/>
      <family val="3"/>
      <charset val="128"/>
    </font>
    <font>
      <sz val="11"/>
      <color rgb="FFA6ADC8"/>
      <name val="Yu Gothic UI"/>
      <family val="3"/>
      <charset val="128"/>
    </font>
    <font>
      <b/>
      <sz val="11"/>
      <color rgb="FF1E1E2E"/>
      <name val="Yu Gothic UI"/>
      <family val="3"/>
      <charset val="128"/>
    </font>
    <font>
      <b/>
      <sz val="11"/>
      <color rgb="FFF38BA8"/>
      <name val="Yu Gothic UI"/>
      <family val="3"/>
      <charset val="128"/>
    </font>
    <font>
      <b/>
      <sz val="11"/>
      <color rgb="FFA6E3A1"/>
      <name val="Yu Gothic UI"/>
      <family val="3"/>
      <charset val="128"/>
    </font>
    <font>
      <b/>
      <sz val="11"/>
      <color rgb="FFFAB387"/>
      <name val="Yu Gothic UI"/>
      <family val="3"/>
      <charset val="128"/>
    </font>
    <font>
      <b/>
      <sz val="11"/>
      <color rgb="FF94E2D5"/>
      <name val="Yu Gothic UI"/>
      <family val="3"/>
      <charset val="128"/>
    </font>
    <font>
      <sz val="9"/>
      <color rgb="FFA6ADC8"/>
      <name val="Yu Gothic UI"/>
      <family val="3"/>
      <charset val="128"/>
    </font>
    <font>
      <b/>
      <sz val="20"/>
      <color rgb="FF89B4FA"/>
      <name val="Yu Gothic UI"/>
      <family val="3"/>
      <charset val="128"/>
    </font>
    <font>
      <b/>
      <sz val="20"/>
      <color rgb="FFA6E3A1"/>
      <name val="Yu Gothic UI"/>
      <family val="3"/>
      <charset val="128"/>
    </font>
    <font>
      <b/>
      <sz val="20"/>
      <color rgb="FFF38BA8"/>
      <name val="Yu Gothic UI"/>
      <family val="3"/>
      <charset val="128"/>
    </font>
    <font>
      <b/>
      <sz val="20"/>
      <color rgb="FFF9E2AF"/>
      <name val="Yu Gothic UI"/>
      <family val="3"/>
      <charset val="128"/>
    </font>
    <font>
      <b/>
      <sz val="20"/>
      <color rgb="FFFAB387"/>
      <name val="Yu Gothic UI"/>
      <family val="3"/>
      <charset val="128"/>
    </font>
    <font>
      <b/>
      <sz val="20"/>
      <color rgb="FF94E2D5"/>
      <name val="Yu Gothic UI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E1E2E"/>
        <bgColor rgb="FF1E1E2E"/>
      </patternFill>
    </fill>
    <fill>
      <patternFill patternType="solid">
        <fgColor rgb="FF313244"/>
        <bgColor rgb="FF313244"/>
      </patternFill>
    </fill>
    <fill>
      <patternFill patternType="solid">
        <fgColor rgb="FFA6E3A1"/>
        <bgColor rgb="FFA6E3A1"/>
      </patternFill>
    </fill>
    <fill>
      <patternFill patternType="solid">
        <fgColor rgb="FF89B4FA"/>
        <bgColor rgb="FF89B4FA"/>
      </patternFill>
    </fill>
    <fill>
      <patternFill patternType="solid">
        <fgColor rgb="FF494D64"/>
        <bgColor rgb="FF494D64"/>
      </patternFill>
    </fill>
    <fill>
      <patternFill patternType="solid">
        <fgColor rgb="FF45475A"/>
        <bgColor rgb="FF45475A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177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78" fontId="1" fillId="2" borderId="0" xfId="0" applyNumberFormat="1" applyFont="1" applyFill="1" applyAlignment="1">
      <alignment horizontal="right" vertical="center"/>
    </xf>
    <xf numFmtId="179" fontId="5" fillId="3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178" fontId="7" fillId="2" borderId="0" xfId="0" applyNumberFormat="1" applyFont="1" applyFill="1" applyAlignment="1">
      <alignment horizontal="left" vertical="center"/>
    </xf>
    <xf numFmtId="178" fontId="8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3" fontId="1" fillId="2" borderId="0" xfId="0" applyNumberFormat="1" applyFont="1" applyFill="1" applyAlignment="1">
      <alignment horizontal="center" vertical="center"/>
    </xf>
    <xf numFmtId="178" fontId="9" fillId="2" borderId="0" xfId="0" applyNumberFormat="1" applyFont="1" applyFill="1" applyAlignment="1">
      <alignment horizontal="left" vertical="center"/>
    </xf>
    <xf numFmtId="3" fontId="4" fillId="2" borderId="0" xfId="0" applyNumberFormat="1" applyFont="1" applyFill="1" applyAlignment="1">
      <alignment horizontal="left" vertical="center"/>
    </xf>
    <xf numFmtId="0" fontId="6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80" fontId="1" fillId="2" borderId="0" xfId="0" applyNumberFormat="1" applyFont="1" applyFill="1" applyAlignment="1">
      <alignment horizontal="right" vertical="center"/>
    </xf>
    <xf numFmtId="181" fontId="1" fillId="2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left" vertical="center"/>
    </xf>
    <xf numFmtId="178" fontId="1" fillId="6" borderId="0" xfId="0" applyNumberFormat="1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0" fillId="0" borderId="0" xfId="0"/>
    <xf numFmtId="0" fontId="3" fillId="3" borderId="0" xfId="0" applyFont="1" applyFill="1" applyAlignment="1">
      <alignment horizontal="left" vertical="center"/>
    </xf>
    <xf numFmtId="181" fontId="15" fillId="3" borderId="0" xfId="0" applyNumberFormat="1" applyFont="1" applyFill="1" applyAlignment="1">
      <alignment horizontal="left" vertical="center"/>
    </xf>
    <xf numFmtId="178" fontId="16" fillId="3" borderId="0" xfId="0" applyNumberFormat="1" applyFont="1" applyFill="1" applyAlignment="1">
      <alignment horizontal="left" vertical="center"/>
    </xf>
    <xf numFmtId="178" fontId="12" fillId="7" borderId="0" xfId="0" applyNumberFormat="1" applyFont="1" applyFill="1" applyAlignment="1">
      <alignment horizontal="left" vertical="center"/>
    </xf>
    <xf numFmtId="178" fontId="14" fillId="3" borderId="0" xfId="0" applyNumberFormat="1" applyFont="1" applyFill="1" applyAlignment="1">
      <alignment horizontal="left" vertical="center"/>
    </xf>
    <xf numFmtId="178" fontId="13" fillId="3" borderId="0" xfId="0" applyNumberFormat="1" applyFont="1" applyFill="1" applyAlignment="1">
      <alignment horizontal="left" vertical="center"/>
    </xf>
    <xf numFmtId="178" fontId="17" fillId="3" borderId="0" xfId="0" applyNumberFormat="1" applyFont="1" applyFill="1" applyAlignment="1">
      <alignment horizontal="left" vertical="center"/>
    </xf>
    <xf numFmtId="180" fontId="2" fillId="7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7">
    <dxf>
      <font>
        <i/>
        <color rgb="FF6C7086"/>
      </font>
    </dxf>
    <dxf>
      <font>
        <i/>
        <color rgb="FF6C7086"/>
      </font>
    </dxf>
    <dxf>
      <font>
        <color rgb="FFF38BA8"/>
      </font>
    </dxf>
    <dxf>
      <font>
        <color rgb="FFA6E3A1"/>
      </font>
    </dxf>
    <dxf>
      <font>
        <b/>
        <color rgb="FF94E2D5"/>
      </font>
    </dxf>
    <dxf>
      <font>
        <b/>
        <color rgb="FFF38BA8"/>
      </font>
    </dxf>
    <dxf>
      <font>
        <b/>
        <color rgb="FFA6E3A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資産割合</a:t>
            </a:r>
          </a:p>
        </c:rich>
      </c:tx>
      <c:overlay val="1"/>
    </c:title>
    <c:autoTitleDeleted val="0"/>
    <c:plotArea>
      <c:layout>
        <c:manualLayout>
          <c:xMode val="edge"/>
          <c:yMode val="edge"/>
          <c:x val="0.10326227390180878"/>
          <c:y val="5.1059941520467833E-2"/>
          <c:w val="0.70697675759170109"/>
          <c:h val="0.80000001516955654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89B4F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FC6-4D05-BB1E-F87703E60BD5}"/>
              </c:ext>
            </c:extLst>
          </c:dPt>
          <c:dPt>
            <c:idx val="1"/>
            <c:bubble3D val="0"/>
            <c:spPr>
              <a:solidFill>
                <a:srgbClr val="A6E3A1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FC6-4D05-BB1E-F87703E60BD5}"/>
              </c:ext>
            </c:extLst>
          </c:dPt>
          <c:dPt>
            <c:idx val="2"/>
            <c:bubble3D val="0"/>
            <c:spPr>
              <a:solidFill>
                <a:srgbClr val="F9E2AF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FC6-4D05-BB1E-F87703E60BD5}"/>
              </c:ext>
            </c:extLst>
          </c:dPt>
          <c:cat>
            <c:strRef>
              <c:f>マスタ!$B$6:$B$8</c:f>
              <c:strCache>
                <c:ptCount val="3"/>
                <c:pt idx="0">
                  <c:v>現金</c:v>
                </c:pt>
                <c:pt idx="1">
                  <c:v>銀行</c:v>
                </c:pt>
                <c:pt idx="2">
                  <c:v>QR</c:v>
                </c:pt>
              </c:strCache>
            </c:strRef>
          </c:cat>
          <c:val>
            <c:numRef>
              <c:f>マスタ!$E$6:$E$8</c:f>
              <c:numCache>
                <c:formatCode>\¥#,##0;[Red]\-\¥#,##0</c:formatCode>
                <c:ptCount val="3"/>
                <c:pt idx="0">
                  <c:v>24400</c:v>
                </c:pt>
                <c:pt idx="1">
                  <c:v>122100</c:v>
                </c:pt>
                <c:pt idx="2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C6-4D05-BB1E-F87703E60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r"/>
      <c:overlay val="1"/>
      <c:txPr>
        <a:bodyPr/>
        <a:lstStyle/>
        <a:p>
          <a:pPr>
            <a:defRPr>
              <a:solidFill>
                <a:srgbClr val="CDD6F4"/>
              </a:solidFill>
            </a:defRPr>
          </a:pPr>
          <a:endParaRPr lang="ja-JP"/>
        </a:p>
      </c:txPr>
    </c:legend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カテゴリ別支出（当月）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spPr>
            <a:solidFill>
              <a:srgbClr val="89B4FA"/>
            </a:solidFill>
            <a:ln>
              <a:prstDash val="solid"/>
            </a:ln>
          </c:spPr>
          <c:invertIfNegative val="1"/>
          <c:cat>
            <c:strRef>
              <c:f>レポート!$B$33:$B$49</c:f>
              <c:strCache>
                <c:ptCount val="17"/>
                <c:pt idx="0">
                  <c:v>給与</c:v>
                </c:pt>
                <c:pt idx="1">
                  <c:v>賞与</c:v>
                </c:pt>
                <c:pt idx="2">
                  <c:v>副業</c:v>
                </c:pt>
                <c:pt idx="3">
                  <c:v>その他収入</c:v>
                </c:pt>
                <c:pt idx="4">
                  <c:v>食費</c:v>
                </c:pt>
                <c:pt idx="5">
                  <c:v>日用品</c:v>
                </c:pt>
                <c:pt idx="6">
                  <c:v>住居</c:v>
                </c:pt>
                <c:pt idx="7">
                  <c:v>水道光熱</c:v>
                </c:pt>
                <c:pt idx="8">
                  <c:v>通信</c:v>
                </c:pt>
                <c:pt idx="9">
                  <c:v>交通</c:v>
                </c:pt>
                <c:pt idx="10">
                  <c:v>娯楽</c:v>
                </c:pt>
                <c:pt idx="11">
                  <c:v>交際</c:v>
                </c:pt>
                <c:pt idx="12">
                  <c:v>医療</c:v>
                </c:pt>
                <c:pt idx="13">
                  <c:v>教育</c:v>
                </c:pt>
                <c:pt idx="14">
                  <c:v>保険</c:v>
                </c:pt>
                <c:pt idx="15">
                  <c:v>サブスク</c:v>
                </c:pt>
                <c:pt idx="16">
                  <c:v>その他支出</c:v>
                </c:pt>
              </c:strCache>
            </c:strRef>
          </c:cat>
          <c:val>
            <c:numRef>
              <c:f>レポート!$C$33:$C$49</c:f>
              <c:numCache>
                <c:formatCode>\¥#,##0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7200</c:v>
                </c:pt>
                <c:pt idx="5">
                  <c:v>0</c:v>
                </c:pt>
                <c:pt idx="6">
                  <c:v>80000</c:v>
                </c:pt>
                <c:pt idx="7">
                  <c:v>0</c:v>
                </c:pt>
                <c:pt idx="8">
                  <c:v>6000</c:v>
                </c:pt>
                <c:pt idx="9">
                  <c:v>0</c:v>
                </c:pt>
                <c:pt idx="10">
                  <c:v>4800</c:v>
                </c:pt>
                <c:pt idx="11">
                  <c:v>12000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43C-4CDF-B5E3-6C8E433AF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月別収支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レポート!$C$5</c:f>
              <c:strCache>
                <c:ptCount val="1"/>
                <c:pt idx="0">
                  <c:v>収入</c:v>
                </c:pt>
              </c:strCache>
            </c:strRef>
          </c:tx>
          <c:spPr>
            <a:solidFill>
              <a:srgbClr val="89B4FA"/>
            </a:solidFill>
            <a:ln>
              <a:prstDash val="solid"/>
            </a:ln>
          </c:spPr>
          <c:invertIfNegative val="1"/>
          <c:cat>
            <c:strRef>
              <c:f>レポート!$B$6:$B$29</c:f>
              <c:strCache>
                <c:ptCount val="24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  <c:pt idx="12">
                  <c:v>2027-01</c:v>
                </c:pt>
                <c:pt idx="13">
                  <c:v>2027-02</c:v>
                </c:pt>
                <c:pt idx="14">
                  <c:v>2027-03</c:v>
                </c:pt>
                <c:pt idx="15">
                  <c:v>2027-04</c:v>
                </c:pt>
                <c:pt idx="16">
                  <c:v>2027-05</c:v>
                </c:pt>
                <c:pt idx="17">
                  <c:v>2027-06</c:v>
                </c:pt>
                <c:pt idx="18">
                  <c:v>2027-07</c:v>
                </c:pt>
                <c:pt idx="19">
                  <c:v>2027-08</c:v>
                </c:pt>
                <c:pt idx="20">
                  <c:v>2027-09</c:v>
                </c:pt>
                <c:pt idx="21">
                  <c:v>2027-10</c:v>
                </c:pt>
                <c:pt idx="22">
                  <c:v>2027-11</c:v>
                </c:pt>
                <c:pt idx="23">
                  <c:v>2027-12</c:v>
                </c:pt>
              </c:strCache>
            </c:strRef>
          </c:cat>
          <c:val>
            <c:numRef>
              <c:f>レポート!$C$6:$C$29</c:f>
              <c:numCache>
                <c:formatCode>\¥#,##0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258000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9AF-4626-B13B-B7F67C149AB1}"/>
            </c:ext>
          </c:extLst>
        </c:ser>
        <c:ser>
          <c:idx val="1"/>
          <c:order val="1"/>
          <c:tx>
            <c:strRef>
              <c:f>レポート!$D$5</c:f>
              <c:strCache>
                <c:ptCount val="1"/>
                <c:pt idx="0">
                  <c:v>支出</c:v>
                </c:pt>
              </c:strCache>
            </c:strRef>
          </c:tx>
          <c:spPr>
            <a:solidFill>
              <a:srgbClr val="A6E3A1"/>
            </a:solidFill>
            <a:ln>
              <a:prstDash val="solid"/>
            </a:ln>
          </c:spPr>
          <c:invertIfNegative val="1"/>
          <c:cat>
            <c:strRef>
              <c:f>レポート!$B$6:$B$29</c:f>
              <c:strCache>
                <c:ptCount val="24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  <c:pt idx="12">
                  <c:v>2027-01</c:v>
                </c:pt>
                <c:pt idx="13">
                  <c:v>2027-02</c:v>
                </c:pt>
                <c:pt idx="14">
                  <c:v>2027-03</c:v>
                </c:pt>
                <c:pt idx="15">
                  <c:v>2027-04</c:v>
                </c:pt>
                <c:pt idx="16">
                  <c:v>2027-05</c:v>
                </c:pt>
                <c:pt idx="17">
                  <c:v>2027-06</c:v>
                </c:pt>
                <c:pt idx="18">
                  <c:v>2027-07</c:v>
                </c:pt>
                <c:pt idx="19">
                  <c:v>2027-08</c:v>
                </c:pt>
                <c:pt idx="20">
                  <c:v>2027-09</c:v>
                </c:pt>
                <c:pt idx="21">
                  <c:v>2027-10</c:v>
                </c:pt>
                <c:pt idx="22">
                  <c:v>2027-11</c:v>
                </c:pt>
                <c:pt idx="23">
                  <c:v>2027-12</c:v>
                </c:pt>
              </c:strCache>
            </c:strRef>
          </c:cat>
          <c:val>
            <c:numRef>
              <c:f>レポート!$D$6:$D$29</c:f>
              <c:numCache>
                <c:formatCode>\¥#,##0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29AF-4626-B13B-B7F67C14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1"/>
      <c:txPr>
        <a:bodyPr/>
        <a:lstStyle/>
        <a:p>
          <a:pPr>
            <a:defRPr>
              <a:solidFill>
                <a:srgbClr val="CDD6F4"/>
              </a:solidFill>
            </a:defRPr>
          </a:pPr>
          <a:endParaRPr lang="ja-JP"/>
        </a:p>
      </c:txPr>
    </c:legend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資産推移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spPr>
            <a:ln>
              <a:solidFill>
                <a:srgbClr val="89B4FA"/>
              </a:solidFill>
              <a:prstDash val="solid"/>
            </a:ln>
          </c:spPr>
          <c:marker>
            <c:symbol val="none"/>
          </c:marker>
          <c:cat>
            <c:strRef>
              <c:f>スナップショット!$B$7</c:f>
              <c:strCache>
                <c:ptCount val="1"/>
                <c:pt idx="0">
                  <c:v>2026-07</c:v>
                </c:pt>
              </c:strCache>
            </c:strRef>
          </c:cat>
          <c:val>
            <c:numRef>
              <c:f>スナップショット!$C$7</c:f>
              <c:numCache>
                <c:formatCode>\¥#,##0;[Red]\-\¥#,##0</c:formatCode>
                <c:ptCount val="1"/>
                <c:pt idx="0">
                  <c:v>148300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95F-4334-88EC-B01665816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¥#,##0;[Red]\-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20</xdr:row>
      <xdr:rowOff>0</xdr:rowOff>
    </xdr:from>
    <xdr:ext cx="3096000" cy="27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20</xdr:row>
      <xdr:rowOff>0</xdr:rowOff>
    </xdr:from>
    <xdr:ext cx="3096000" cy="2736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37</xdr:row>
      <xdr:rowOff>0</xdr:rowOff>
    </xdr:from>
    <xdr:ext cx="3096000" cy="2736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7</xdr:col>
      <xdr:colOff>0</xdr:colOff>
      <xdr:row>37</xdr:row>
      <xdr:rowOff>0</xdr:rowOff>
    </xdr:from>
    <xdr:ext cx="3096000" cy="2736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259080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2F1CEEB-BBC9-8FB5-E411-011F61DBA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🔄 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0</xdr:rowOff>
        </xdr:from>
        <xdr:to>
          <xdr:col>10</xdr:col>
          <xdr:colOff>441960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7450EAB-339C-B83B-9D14-135A648F8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＋ 取引を追加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487680</xdr:colOff>
          <xdr:row>1</xdr:row>
          <xdr:rowOff>0</xdr:rowOff>
        </xdr:from>
        <xdr:to>
          <xdr:col>14</xdr:col>
          <xdr:colOff>7620</xdr:colOff>
          <xdr:row>1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6F78CE8-408C-391F-C2C8-7B359D764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翌月へ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350520</xdr:rowOff>
        </xdr:from>
        <xdr:to>
          <xdr:col>7</xdr:col>
          <xdr:colOff>259080</xdr:colOff>
          <xdr:row>3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F639375-F943-024B-1B0A-948D41545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💾 バックアップ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350520</xdr:rowOff>
        </xdr:from>
        <xdr:to>
          <xdr:col>10</xdr:col>
          <xdr:colOff>441960</xdr:colOff>
          <xdr:row>3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C59276E-393E-40F9-3B13-75E77F7CC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📸 スナップ保存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487680</xdr:colOff>
          <xdr:row>1</xdr:row>
          <xdr:rowOff>350520</xdr:rowOff>
        </xdr:from>
        <xdr:to>
          <xdr:col>14</xdr:col>
          <xdr:colOff>7620</xdr:colOff>
          <xdr:row>3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EDD31668-2AEB-2480-363D-EAF2A671A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🔒 数式保護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7620</xdr:rowOff>
        </xdr:from>
        <xdr:to>
          <xdr:col>2</xdr:col>
          <xdr:colOff>289560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7B229AE-E031-B5D4-745D-47A6CB550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今月へ反映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7620</xdr:rowOff>
        </xdr:from>
        <xdr:to>
          <xdr:col>2</xdr:col>
          <xdr:colOff>152400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E973B0E-3A06-0F36-C7DC-12C18CC3A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今月へ反映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_Txn" displayName="T_Txn" ref="B6:J406">
  <autoFilter ref="B6:J406" xr:uid="{00000000-0009-0000-0100-000001000000}"/>
  <tableColumns count="9">
    <tableColumn id="2" xr3:uid="{00000000-0010-0000-0000-000002000000}" name="日付"/>
    <tableColumn id="3" xr3:uid="{00000000-0010-0000-0000-000003000000}" name="種類"/>
    <tableColumn id="4" xr3:uid="{00000000-0010-0000-0000-000004000000}" name="出金元"/>
    <tableColumn id="5" xr3:uid="{00000000-0010-0000-0000-000005000000}" name="入金先"/>
    <tableColumn id="6" xr3:uid="{00000000-0010-0000-0000-000006000000}" name="金額"/>
    <tableColumn id="7" xr3:uid="{00000000-0010-0000-0000-000007000000}" name="カテゴリ"/>
    <tableColumn id="8" xr3:uid="{00000000-0010-0000-0000-000008000000}" name="支払方法"/>
    <tableColumn id="9" xr3:uid="{00000000-0010-0000-0000-000009000000}" name="メモ"/>
    <tableColumn id="10" xr3:uid="{00000000-0010-0000-0000-00000A000000}" name="年月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Fixed" displayName="T_Fixed" ref="B6:J46">
  <autoFilter ref="B6:J46" xr:uid="{00000000-0009-0000-0100-000002000000}"/>
  <tableColumns count="9">
    <tableColumn id="2" xr3:uid="{00000000-0010-0000-0100-000002000000}" name="名称"/>
    <tableColumn id="3" xr3:uid="{00000000-0010-0000-0100-000003000000}" name="種類"/>
    <tableColumn id="4" xr3:uid="{00000000-0010-0000-0100-000004000000}" name="金額"/>
    <tableColumn id="5" xr3:uid="{00000000-0010-0000-0100-000005000000}" name="支払日"/>
    <tableColumn id="6" xr3:uid="{00000000-0010-0000-0100-000006000000}" name="口座"/>
    <tableColumn id="7" xr3:uid="{00000000-0010-0000-0100-000007000000}" name="カテゴリ"/>
    <tableColumn id="8" xr3:uid="{00000000-0010-0000-0100-000008000000}" name="支払方法"/>
    <tableColumn id="9" xr3:uid="{00000000-0010-0000-0100-000009000000}" name="有効"/>
    <tableColumn id="10" xr3:uid="{00000000-0010-0000-0100-00000A000000}" name="メモ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_Sub" displayName="T_Sub" ref="B6:J46">
  <autoFilter ref="B6:J46" xr:uid="{00000000-0009-0000-0100-000003000000}"/>
  <tableColumns count="9">
    <tableColumn id="2" xr3:uid="{00000000-0010-0000-0200-000002000000}" name="名称"/>
    <tableColumn id="3" xr3:uid="{00000000-0010-0000-0200-000003000000}" name="開始日"/>
    <tableColumn id="4" xr3:uid="{00000000-0010-0000-0200-000004000000}" name="支払日"/>
    <tableColumn id="5" xr3:uid="{00000000-0010-0000-0200-000005000000}" name="金額"/>
    <tableColumn id="6" xr3:uid="{00000000-0010-0000-0200-000006000000}" name="支払方法"/>
    <tableColumn id="7" xr3:uid="{00000000-0010-0000-0200-000007000000}" name="口座"/>
    <tableColumn id="8" xr3:uid="{00000000-0010-0000-0200-000008000000}" name="カテゴリ"/>
    <tableColumn id="9" xr3:uid="{00000000-0010-0000-0200-000009000000}" name="有効"/>
    <tableColumn id="10" xr3:uid="{00000000-0010-0000-0200-00000A000000}" name="メモ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_Snap" displayName="T_Snap" ref="B6:F7">
  <autoFilter ref="B6:F7" xr:uid="{00000000-0009-0000-0100-000004000000}"/>
  <tableColumns count="5">
    <tableColumn id="2" xr3:uid="{00000000-0010-0000-0300-000002000000}" name="年月"/>
    <tableColumn id="3" xr3:uid="{00000000-0010-0000-0300-000003000000}" name="総資産"/>
    <tableColumn id="4" xr3:uid="{00000000-0010-0000-0300-000004000000}" name="現金"/>
    <tableColumn id="5" xr3:uid="{00000000-0010-0000-0300-000005000000}" name="銀行"/>
    <tableColumn id="6" xr3:uid="{00000000-0010-0000-0300-000006000000}" name="QR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_Account" displayName="T_Account" ref="B5:E8">
  <autoFilter ref="B5:E8" xr:uid="{00000000-0009-0000-0100-000005000000}"/>
  <tableColumns count="4">
    <tableColumn id="2" xr3:uid="{00000000-0010-0000-0400-000002000000}" name="口座名"/>
    <tableColumn id="3" xr3:uid="{00000000-0010-0000-0400-000003000000}" name="初期残高"/>
    <tableColumn id="4" xr3:uid="{00000000-0010-0000-0400-000004000000}" name="表示順"/>
    <tableColumn id="5" xr3:uid="{00000000-0010-0000-0400-000005000000}" name="現在残高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_Category" displayName="T_Category" ref="G5:H22">
  <autoFilter ref="G5:H22" xr:uid="{00000000-0009-0000-0100-000006000000}"/>
  <tableColumns count="2">
    <tableColumn id="7" xr3:uid="{00000000-0010-0000-0500-000007000000}" name="カテゴリ"/>
    <tableColumn id="8" xr3:uid="{00000000-0010-0000-0500-000008000000}" name="区分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_Pay" displayName="T_Pay" ref="J5:J12">
  <autoFilter ref="J5:J12" xr:uid="{00000000-0009-0000-0100-000007000000}"/>
  <tableColumns count="1">
    <tableColumn id="10" xr3:uid="{00000000-0010-0000-0600-00000A000000}" name="支払方法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89B4FA"/>
  </sheetPr>
  <dimension ref="A1:P60"/>
  <sheetViews>
    <sheetView showGridLines="0" showRowColHeaders="0" tabSelected="1" workbookViewId="0"/>
  </sheetViews>
  <sheetFormatPr defaultRowHeight="13.2" x14ac:dyDescent="0.2"/>
  <cols>
    <col min="1" max="1" width="2" customWidth="1"/>
    <col min="2" max="4" width="9" customWidth="1"/>
    <col min="5" max="5" width="2" customWidth="1"/>
    <col min="6" max="8" width="9" customWidth="1"/>
    <col min="9" max="9" width="2" customWidth="1"/>
    <col min="10" max="12" width="9" customWidth="1"/>
    <col min="13" max="13" width="2" customWidth="1"/>
  </cols>
  <sheetData>
    <row r="1" spans="1:16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9.4" x14ac:dyDescent="0.4">
      <c r="A2" s="1"/>
      <c r="B2" s="2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6.8" x14ac:dyDescent="0.4">
      <c r="A3" s="1"/>
      <c r="B3" s="3" t="str">
        <f>" 対象年月 " &amp; 対象年月</f>
        <v xml:space="preserve"> 対象年月 2026-07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6.8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16.8" x14ac:dyDescent="0.4">
      <c r="A5" s="1"/>
      <c r="B5" s="29" t="s">
        <v>1</v>
      </c>
      <c r="C5" s="30"/>
      <c r="D5" s="30"/>
      <c r="E5" s="1"/>
      <c r="F5" s="31" t="s">
        <v>2</v>
      </c>
      <c r="G5" s="30"/>
      <c r="H5" s="30"/>
      <c r="I5" s="1"/>
      <c r="J5" s="31" t="s">
        <v>3</v>
      </c>
      <c r="K5" s="30"/>
      <c r="L5" s="30"/>
      <c r="M5" s="1"/>
      <c r="N5" s="1"/>
      <c r="O5" s="1"/>
      <c r="P5" s="1"/>
    </row>
    <row r="6" spans="1:16" ht="16.8" x14ac:dyDescent="0.4">
      <c r="A6" s="1"/>
      <c r="B6" s="34">
        <f>SUM(T_Account[現在残高])</f>
        <v>148300</v>
      </c>
      <c r="C6" s="30"/>
      <c r="D6" s="30"/>
      <c r="E6" s="1"/>
      <c r="F6" s="36">
        <f>SUMIFS(T_Txn[金額],T_Txn[種類],"収入",T_Txn[年月],対象年月)</f>
        <v>258000</v>
      </c>
      <c r="G6" s="30"/>
      <c r="H6" s="30"/>
      <c r="I6" s="1"/>
      <c r="J6" s="35">
        <f>SUMIFS(T_Txn[金額],T_Txn[種類],"支出",T_Txn[年月],対象年月)</f>
        <v>110000</v>
      </c>
      <c r="K6" s="30"/>
      <c r="L6" s="30"/>
      <c r="M6" s="1"/>
      <c r="N6" s="1"/>
      <c r="O6" s="1"/>
      <c r="P6" s="1"/>
    </row>
    <row r="7" spans="1:16" ht="16.8" x14ac:dyDescent="0.4">
      <c r="A7" s="1"/>
      <c r="B7" s="30"/>
      <c r="C7" s="30"/>
      <c r="D7" s="30"/>
      <c r="E7" s="1"/>
      <c r="F7" s="30"/>
      <c r="G7" s="30"/>
      <c r="H7" s="30"/>
      <c r="I7" s="1"/>
      <c r="J7" s="30"/>
      <c r="K7" s="30"/>
      <c r="L7" s="30"/>
      <c r="M7" s="1"/>
      <c r="N7" s="1"/>
      <c r="O7" s="1"/>
      <c r="P7" s="1"/>
    </row>
    <row r="8" spans="1:16" ht="16.8" x14ac:dyDescent="0.4">
      <c r="A8" s="1"/>
      <c r="B8" s="30"/>
      <c r="C8" s="30"/>
      <c r="D8" s="30"/>
      <c r="E8" s="1"/>
      <c r="F8" s="30"/>
      <c r="G8" s="30"/>
      <c r="H8" s="30"/>
      <c r="I8" s="1"/>
      <c r="J8" s="30"/>
      <c r="K8" s="30"/>
      <c r="L8" s="30"/>
      <c r="M8" s="1"/>
      <c r="N8" s="1"/>
      <c r="O8" s="1"/>
      <c r="P8" s="1"/>
    </row>
    <row r="9" spans="1:16" ht="16.8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ht="16.8" x14ac:dyDescent="0.4">
      <c r="A10" s="1"/>
      <c r="B10" s="29" t="s">
        <v>4</v>
      </c>
      <c r="C10" s="30"/>
      <c r="D10" s="30"/>
      <c r="E10" s="1"/>
      <c r="F10" s="31" t="s">
        <v>5</v>
      </c>
      <c r="G10" s="30"/>
      <c r="H10" s="30"/>
      <c r="I10" s="1"/>
      <c r="J10" s="31" t="s">
        <v>6</v>
      </c>
      <c r="K10" s="30"/>
      <c r="L10" s="30"/>
      <c r="M10" s="1"/>
      <c r="N10" s="1"/>
      <c r="O10" s="1"/>
      <c r="P10" s="1"/>
    </row>
    <row r="11" spans="1:16" ht="16.8" x14ac:dyDescent="0.4">
      <c r="A11" s="1"/>
      <c r="B11" s="38">
        <f>SUMIFS(T_Txn[金額],T_Txn[種類],"収入",T_Txn[年月],対象年月)-SUMIFS(T_Txn[金額],T_Txn[種類],"支出",T_Txn[年月],対象年月)</f>
        <v>148000</v>
      </c>
      <c r="C11" s="30"/>
      <c r="D11" s="30"/>
      <c r="E11" s="1"/>
      <c r="F11" s="32">
        <f>IFERROR((SUMIFS(T_Txn[金額],T_Txn[種類],"収入",T_Txn[年月],対象年月)-SUMIFS(T_Txn[金額],T_Txn[種類],"支出",T_Txn[年月],対象年月))/SUMIFS(T_Txn[金額],T_Txn[種類],"収入",T_Txn[年月],対象年月),"")</f>
        <v>0.5736434108527132</v>
      </c>
      <c r="G11" s="30"/>
      <c r="H11" s="30"/>
      <c r="I11" s="1"/>
      <c r="J11" s="33">
        <f>SUMIFS(T_Fixed[金額],T_Fixed[種類],"支出",T_Fixed[有効],"ON")</f>
        <v>92000</v>
      </c>
      <c r="K11" s="30"/>
      <c r="L11" s="30"/>
      <c r="M11" s="1"/>
      <c r="N11" s="1"/>
      <c r="O11" s="1"/>
      <c r="P11" s="1"/>
    </row>
    <row r="12" spans="1:16" ht="16.8" x14ac:dyDescent="0.4">
      <c r="A12" s="1"/>
      <c r="B12" s="30"/>
      <c r="C12" s="30"/>
      <c r="D12" s="30"/>
      <c r="E12" s="1"/>
      <c r="F12" s="30"/>
      <c r="G12" s="30"/>
      <c r="H12" s="30"/>
      <c r="I12" s="1"/>
      <c r="J12" s="30"/>
      <c r="K12" s="30"/>
      <c r="L12" s="30"/>
      <c r="M12" s="1"/>
      <c r="N12" s="1"/>
      <c r="O12" s="1"/>
      <c r="P12" s="1"/>
    </row>
    <row r="13" spans="1:16" ht="16.8" x14ac:dyDescent="0.4">
      <c r="A13" s="1"/>
      <c r="B13" s="30"/>
      <c r="C13" s="30"/>
      <c r="D13" s="30"/>
      <c r="E13" s="1"/>
      <c r="F13" s="30"/>
      <c r="G13" s="30"/>
      <c r="H13" s="30"/>
      <c r="I13" s="1"/>
      <c r="J13" s="30"/>
      <c r="K13" s="30"/>
      <c r="L13" s="30"/>
      <c r="M13" s="1"/>
      <c r="N13" s="1"/>
      <c r="O13" s="1"/>
      <c r="P13" s="1"/>
    </row>
    <row r="14" spans="1:16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ht="16.8" x14ac:dyDescent="0.4">
      <c r="A15" s="1"/>
      <c r="B15" s="4" t="s">
        <v>7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ht="16.8" x14ac:dyDescent="0.4">
      <c r="A16" s="1"/>
      <c r="B16" s="31" t="str">
        <f>IFERROR(INDEX(T_Account[口座名],MATCH(1,T_Account[表示順],0)),"")</f>
        <v>現金</v>
      </c>
      <c r="C16" s="30"/>
      <c r="D16" s="30"/>
      <c r="E16" s="1"/>
      <c r="F16" s="31" t="str">
        <f>IFERROR(INDEX(T_Account[口座名],MATCH(2,T_Account[表示順],0)),"")</f>
        <v>銀行</v>
      </c>
      <c r="G16" s="30"/>
      <c r="H16" s="30"/>
      <c r="I16" s="1"/>
      <c r="J16" s="31" t="str">
        <f>IFERROR(INDEX(T_Account[口座名],MATCH(3,T_Account[表示順],0)),"")</f>
        <v>QR</v>
      </c>
      <c r="K16" s="30"/>
      <c r="L16" s="30"/>
      <c r="M16" s="1"/>
      <c r="N16" s="1"/>
      <c r="O16" s="1"/>
      <c r="P16" s="1"/>
    </row>
    <row r="17" spans="1:16" ht="16.8" x14ac:dyDescent="0.4">
      <c r="A17" s="1"/>
      <c r="B17" s="37">
        <f>IFERROR(INDEX(T_Account[現在残高],MATCH(1,T_Account[表示順],0)),"")</f>
        <v>24400</v>
      </c>
      <c r="C17" s="30"/>
      <c r="D17" s="30"/>
      <c r="E17" s="1"/>
      <c r="F17" s="37">
        <f>IFERROR(INDEX(T_Account[現在残高],MATCH(2,T_Account[表示順],0)),"")</f>
        <v>122100</v>
      </c>
      <c r="G17" s="30"/>
      <c r="H17" s="30"/>
      <c r="I17" s="1"/>
      <c r="J17" s="37">
        <f>IFERROR(INDEX(T_Account[現在残高],MATCH(3,T_Account[表示順],0)),"")</f>
        <v>1800</v>
      </c>
      <c r="K17" s="30"/>
      <c r="L17" s="30"/>
      <c r="M17" s="1"/>
      <c r="N17" s="1"/>
      <c r="O17" s="1"/>
      <c r="P17" s="1"/>
    </row>
    <row r="18" spans="1:16" ht="16.8" x14ac:dyDescent="0.4">
      <c r="A18" s="1"/>
      <c r="B18" s="30"/>
      <c r="C18" s="30"/>
      <c r="D18" s="30"/>
      <c r="E18" s="1"/>
      <c r="F18" s="30"/>
      <c r="G18" s="30"/>
      <c r="H18" s="30"/>
      <c r="I18" s="1"/>
      <c r="J18" s="30"/>
      <c r="K18" s="30"/>
      <c r="L18" s="30"/>
      <c r="M18" s="1"/>
      <c r="N18" s="1"/>
      <c r="O18" s="1"/>
      <c r="P18" s="1"/>
    </row>
    <row r="19" spans="1:16" ht="16.8" x14ac:dyDescent="0.4">
      <c r="A19" s="1"/>
      <c r="B19" s="30"/>
      <c r="C19" s="30"/>
      <c r="D19" s="30"/>
      <c r="E19" s="1"/>
      <c r="F19" s="30"/>
      <c r="G19" s="30"/>
      <c r="H19" s="30"/>
      <c r="I19" s="1"/>
      <c r="J19" s="30"/>
      <c r="K19" s="30"/>
      <c r="L19" s="30"/>
      <c r="M19" s="1"/>
      <c r="N19" s="1"/>
      <c r="O19" s="1"/>
      <c r="P19" s="1"/>
    </row>
    <row r="20" spans="1:16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</sheetData>
  <mergeCells count="18">
    <mergeCell ref="F16:H16"/>
    <mergeCell ref="F17:H19"/>
    <mergeCell ref="J16:L16"/>
    <mergeCell ref="J17:L19"/>
    <mergeCell ref="B17:D19"/>
    <mergeCell ref="B16:D16"/>
    <mergeCell ref="B10:D10"/>
    <mergeCell ref="J5:L5"/>
    <mergeCell ref="F10:H10"/>
    <mergeCell ref="F11:H13"/>
    <mergeCell ref="B5:D5"/>
    <mergeCell ref="J11:L13"/>
    <mergeCell ref="F5:H5"/>
    <mergeCell ref="J10:L10"/>
    <mergeCell ref="B6:D8"/>
    <mergeCell ref="J6:L8"/>
    <mergeCell ref="F6:H8"/>
    <mergeCell ref="B11:D13"/>
  </mergeCells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freshAll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259080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ShowTransactionForm">
                <anchor moveWithCells="1" sizeWithCells="1">
                  <from>
                    <xdr:col>7</xdr:col>
                    <xdr:colOff>312420</xdr:colOff>
                    <xdr:row>1</xdr:row>
                    <xdr:rowOff>0</xdr:rowOff>
                  </from>
                  <to>
                    <xdr:col>10</xdr:col>
                    <xdr:colOff>441960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RolloverToNextMonth">
                <anchor moveWithCells="1" sizeWithCells="1">
                  <from>
                    <xdr:col>10</xdr:col>
                    <xdr:colOff>487680</xdr:colOff>
                    <xdr:row>1</xdr:row>
                    <xdr:rowOff>0</xdr:rowOff>
                  </from>
                  <to>
                    <xdr:col>14</xdr:col>
                    <xdr:colOff>7620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BackupWorkbook">
                <anchor moveWithCells="1" sizeWithCells="1">
                  <from>
                    <xdr:col>5</xdr:col>
                    <xdr:colOff>0</xdr:colOff>
                    <xdr:row>1</xdr:row>
                    <xdr:rowOff>350520</xdr:rowOff>
                  </from>
                  <to>
                    <xdr:col>7</xdr:col>
                    <xdr:colOff>259080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SaveMonthEndSnapshot">
                <anchor moveWithCells="1" sizeWithCells="1">
                  <from>
                    <xdr:col>7</xdr:col>
                    <xdr:colOff>312420</xdr:colOff>
                    <xdr:row>1</xdr:row>
                    <xdr:rowOff>350520</xdr:rowOff>
                  </from>
                  <to>
                    <xdr:col>10</xdr:col>
                    <xdr:colOff>441960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ProtectFormulas">
                <anchor moveWithCells="1" sizeWithCells="1">
                  <from>
                    <xdr:col>10</xdr:col>
                    <xdr:colOff>487680</xdr:colOff>
                    <xdr:row>1</xdr:row>
                    <xdr:rowOff>350520</xdr:rowOff>
                  </from>
                  <to>
                    <xdr:col>14</xdr:col>
                    <xdr:colOff>7620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9B4FA"/>
  </sheetPr>
  <dimension ref="A1:L41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12" customWidth="1"/>
    <col min="3" max="3" width="8" customWidth="1"/>
    <col min="4" max="5" width="10" customWidth="1"/>
    <col min="6" max="6" width="13" customWidth="1"/>
    <col min="7" max="8" width="11" customWidth="1"/>
    <col min="9" max="9" width="26" customWidth="1"/>
    <col min="10" max="10" width="9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8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9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10</v>
      </c>
      <c r="C6" s="5" t="s">
        <v>11</v>
      </c>
      <c r="D6" s="5" t="s">
        <v>12</v>
      </c>
      <c r="E6" s="5" t="s">
        <v>13</v>
      </c>
      <c r="F6" s="5" t="s">
        <v>14</v>
      </c>
      <c r="G6" s="5" t="s">
        <v>15</v>
      </c>
      <c r="H6" s="5" t="s">
        <v>16</v>
      </c>
      <c r="I6" s="5" t="s">
        <v>17</v>
      </c>
      <c r="J6" s="5" t="s">
        <v>18</v>
      </c>
      <c r="K6" s="1"/>
      <c r="L6" s="1"/>
    </row>
    <row r="7" spans="1:12" ht="16.8" x14ac:dyDescent="0.4">
      <c r="A7" s="1"/>
      <c r="B7" s="6">
        <v>46208</v>
      </c>
      <c r="C7" s="7" t="s">
        <v>19</v>
      </c>
      <c r="D7" s="7"/>
      <c r="E7" s="7" t="s">
        <v>20</v>
      </c>
      <c r="F7" s="8">
        <v>250000</v>
      </c>
      <c r="G7" s="1" t="s">
        <v>21</v>
      </c>
      <c r="H7" s="7" t="s">
        <v>22</v>
      </c>
      <c r="I7" s="1" t="s">
        <v>23</v>
      </c>
      <c r="J7" s="9" t="str">
        <f t="shared" ref="J7:J70" si="0">IF($B7="","",TEXT($B7,"yyyy-mm"))</f>
        <v>2026-07</v>
      </c>
      <c r="K7" s="1"/>
      <c r="L7" s="1"/>
    </row>
    <row r="8" spans="1:12" ht="16.8" x14ac:dyDescent="0.4">
      <c r="A8" s="1"/>
      <c r="B8" s="6">
        <v>46205</v>
      </c>
      <c r="C8" s="7" t="s">
        <v>19</v>
      </c>
      <c r="D8" s="7"/>
      <c r="E8" s="7" t="s">
        <v>24</v>
      </c>
      <c r="F8" s="8">
        <v>8000</v>
      </c>
      <c r="G8" s="1" t="s">
        <v>25</v>
      </c>
      <c r="H8" s="7" t="s">
        <v>26</v>
      </c>
      <c r="I8" s="1" t="s">
        <v>27</v>
      </c>
      <c r="J8" s="9" t="str">
        <f t="shared" si="0"/>
        <v>2026-07</v>
      </c>
      <c r="K8" s="1"/>
      <c r="L8" s="1"/>
    </row>
    <row r="9" spans="1:12" ht="16.8" x14ac:dyDescent="0.4">
      <c r="A9" s="1"/>
      <c r="B9" s="6">
        <v>46204</v>
      </c>
      <c r="C9" s="7" t="s">
        <v>28</v>
      </c>
      <c r="D9" s="7" t="s">
        <v>20</v>
      </c>
      <c r="E9" s="7"/>
      <c r="F9" s="8">
        <v>80000</v>
      </c>
      <c r="G9" s="1" t="s">
        <v>29</v>
      </c>
      <c r="H9" s="7" t="s">
        <v>30</v>
      </c>
      <c r="I9" s="1" t="s">
        <v>31</v>
      </c>
      <c r="J9" s="9" t="str">
        <f t="shared" si="0"/>
        <v>2026-07</v>
      </c>
      <c r="K9" s="1"/>
      <c r="L9" s="1"/>
    </row>
    <row r="10" spans="1:12" ht="16.8" x14ac:dyDescent="0.4">
      <c r="A10" s="1"/>
      <c r="B10" s="6">
        <v>46206</v>
      </c>
      <c r="C10" s="7" t="s">
        <v>28</v>
      </c>
      <c r="D10" s="7" t="s">
        <v>32</v>
      </c>
      <c r="E10" s="7"/>
      <c r="F10" s="8">
        <v>3200</v>
      </c>
      <c r="G10" s="1" t="s">
        <v>33</v>
      </c>
      <c r="H10" s="7" t="s">
        <v>32</v>
      </c>
      <c r="I10" s="1" t="s">
        <v>34</v>
      </c>
      <c r="J10" s="9" t="str">
        <f t="shared" si="0"/>
        <v>2026-07</v>
      </c>
      <c r="K10" s="1"/>
      <c r="L10" s="1"/>
    </row>
    <row r="11" spans="1:12" ht="16.8" x14ac:dyDescent="0.4">
      <c r="A11" s="1"/>
      <c r="B11" s="6">
        <v>46207</v>
      </c>
      <c r="C11" s="7" t="s">
        <v>28</v>
      </c>
      <c r="D11" s="7" t="s">
        <v>24</v>
      </c>
      <c r="E11" s="7"/>
      <c r="F11" s="8">
        <v>1500</v>
      </c>
      <c r="G11" s="1" t="s">
        <v>33</v>
      </c>
      <c r="H11" s="7" t="s">
        <v>26</v>
      </c>
      <c r="I11" s="1" t="s">
        <v>35</v>
      </c>
      <c r="J11" s="9" t="str">
        <f t="shared" si="0"/>
        <v>2026-07</v>
      </c>
      <c r="K11" s="1"/>
      <c r="L11" s="1"/>
    </row>
    <row r="12" spans="1:12" ht="16.8" x14ac:dyDescent="0.4">
      <c r="A12" s="1"/>
      <c r="B12" s="6">
        <v>46209</v>
      </c>
      <c r="C12" s="7" t="s">
        <v>28</v>
      </c>
      <c r="D12" s="7" t="s">
        <v>20</v>
      </c>
      <c r="E12" s="7"/>
      <c r="F12" s="8">
        <v>6000</v>
      </c>
      <c r="G12" s="1" t="s">
        <v>36</v>
      </c>
      <c r="H12" s="7" t="s">
        <v>30</v>
      </c>
      <c r="I12" s="1" t="s">
        <v>37</v>
      </c>
      <c r="J12" s="9" t="str">
        <f t="shared" si="0"/>
        <v>2026-07</v>
      </c>
      <c r="K12" s="1"/>
      <c r="L12" s="1"/>
    </row>
    <row r="13" spans="1:12" ht="16.8" x14ac:dyDescent="0.4">
      <c r="A13" s="1"/>
      <c r="B13" s="6">
        <v>46209</v>
      </c>
      <c r="C13" s="7" t="s">
        <v>28</v>
      </c>
      <c r="D13" s="7" t="s">
        <v>24</v>
      </c>
      <c r="E13" s="7"/>
      <c r="F13" s="8">
        <v>4800</v>
      </c>
      <c r="G13" s="1" t="s">
        <v>38</v>
      </c>
      <c r="H13" s="7" t="s">
        <v>26</v>
      </c>
      <c r="I13" s="1" t="s">
        <v>39</v>
      </c>
      <c r="J13" s="9" t="str">
        <f t="shared" si="0"/>
        <v>2026-07</v>
      </c>
      <c r="K13" s="1"/>
      <c r="L13" s="1"/>
    </row>
    <row r="14" spans="1:12" ht="16.8" x14ac:dyDescent="0.4">
      <c r="A14" s="1"/>
      <c r="B14" s="6">
        <v>46211</v>
      </c>
      <c r="C14" s="7" t="s">
        <v>28</v>
      </c>
      <c r="D14" s="7" t="s">
        <v>32</v>
      </c>
      <c r="E14" s="7"/>
      <c r="F14" s="8">
        <v>2500</v>
      </c>
      <c r="G14" s="1" t="s">
        <v>33</v>
      </c>
      <c r="H14" s="7" t="s">
        <v>32</v>
      </c>
      <c r="I14" s="1" t="s">
        <v>40</v>
      </c>
      <c r="J14" s="9" t="str">
        <f t="shared" si="0"/>
        <v>2026-07</v>
      </c>
      <c r="K14" s="1"/>
      <c r="L14" s="1"/>
    </row>
    <row r="15" spans="1:12" ht="16.8" x14ac:dyDescent="0.4">
      <c r="A15" s="1"/>
      <c r="B15" s="6">
        <v>46211</v>
      </c>
      <c r="C15" s="7" t="s">
        <v>28</v>
      </c>
      <c r="D15" s="7" t="s">
        <v>20</v>
      </c>
      <c r="E15" s="7"/>
      <c r="F15" s="8">
        <v>12000</v>
      </c>
      <c r="G15" s="1" t="s">
        <v>41</v>
      </c>
      <c r="H15" s="7" t="s">
        <v>42</v>
      </c>
      <c r="I15" s="1" t="s">
        <v>43</v>
      </c>
      <c r="J15" s="9" t="str">
        <f t="shared" si="0"/>
        <v>2026-07</v>
      </c>
      <c r="K15" s="1"/>
      <c r="L15" s="1"/>
    </row>
    <row r="16" spans="1:12" ht="16.8" x14ac:dyDescent="0.4">
      <c r="A16" s="1"/>
      <c r="B16" s="6">
        <v>46210</v>
      </c>
      <c r="C16" s="7" t="s">
        <v>44</v>
      </c>
      <c r="D16" s="7" t="s">
        <v>20</v>
      </c>
      <c r="E16" s="7" t="s">
        <v>32</v>
      </c>
      <c r="F16" s="8">
        <v>30000</v>
      </c>
      <c r="G16" s="1"/>
      <c r="H16" s="7" t="s">
        <v>22</v>
      </c>
      <c r="I16" s="1" t="s">
        <v>45</v>
      </c>
      <c r="J16" s="9" t="str">
        <f t="shared" si="0"/>
        <v>2026-07</v>
      </c>
      <c r="K16" s="1"/>
      <c r="L16" s="1"/>
    </row>
    <row r="17" spans="1:12" ht="16.8" x14ac:dyDescent="0.4">
      <c r="A17" s="1"/>
      <c r="B17" s="6"/>
      <c r="C17" s="7"/>
      <c r="D17" s="7"/>
      <c r="E17" s="7"/>
      <c r="F17" s="8"/>
      <c r="G17" s="1"/>
      <c r="H17" s="7"/>
      <c r="I17" s="1"/>
      <c r="J17" s="9" t="str">
        <f t="shared" si="0"/>
        <v/>
      </c>
      <c r="K17" s="1"/>
      <c r="L17" s="1"/>
    </row>
    <row r="18" spans="1:12" ht="16.8" x14ac:dyDescent="0.4">
      <c r="A18" s="1"/>
      <c r="B18" s="6"/>
      <c r="C18" s="7"/>
      <c r="D18" s="7"/>
      <c r="E18" s="7"/>
      <c r="F18" s="8"/>
      <c r="G18" s="1"/>
      <c r="H18" s="7"/>
      <c r="I18" s="1"/>
      <c r="J18" s="9" t="str">
        <f t="shared" si="0"/>
        <v/>
      </c>
      <c r="K18" s="1"/>
      <c r="L18" s="1"/>
    </row>
    <row r="19" spans="1:12" ht="16.8" x14ac:dyDescent="0.4">
      <c r="A19" s="1"/>
      <c r="B19" s="6"/>
      <c r="C19" s="7"/>
      <c r="D19" s="7"/>
      <c r="E19" s="7"/>
      <c r="F19" s="8"/>
      <c r="G19" s="1"/>
      <c r="H19" s="7"/>
      <c r="I19" s="1"/>
      <c r="J19" s="9" t="str">
        <f t="shared" si="0"/>
        <v/>
      </c>
      <c r="K19" s="1"/>
      <c r="L19" s="1"/>
    </row>
    <row r="20" spans="1:12" ht="16.8" x14ac:dyDescent="0.4">
      <c r="A20" s="1"/>
      <c r="B20" s="6"/>
      <c r="C20" s="7"/>
      <c r="D20" s="7"/>
      <c r="E20" s="7"/>
      <c r="F20" s="8"/>
      <c r="G20" s="1"/>
      <c r="H20" s="7"/>
      <c r="I20" s="1"/>
      <c r="J20" s="9" t="str">
        <f t="shared" si="0"/>
        <v/>
      </c>
      <c r="K20" s="1"/>
      <c r="L20" s="1"/>
    </row>
    <row r="21" spans="1:12" ht="16.8" x14ac:dyDescent="0.4">
      <c r="A21" s="1"/>
      <c r="B21" s="6"/>
      <c r="C21" s="7"/>
      <c r="D21" s="7"/>
      <c r="E21" s="7"/>
      <c r="F21" s="8"/>
      <c r="G21" s="1"/>
      <c r="H21" s="7"/>
      <c r="I21" s="1"/>
      <c r="J21" s="9" t="str">
        <f t="shared" si="0"/>
        <v/>
      </c>
      <c r="K21" s="1"/>
      <c r="L21" s="1"/>
    </row>
    <row r="22" spans="1:12" ht="16.8" x14ac:dyDescent="0.4">
      <c r="A22" s="1"/>
      <c r="B22" s="6"/>
      <c r="C22" s="7"/>
      <c r="D22" s="7"/>
      <c r="E22" s="7"/>
      <c r="F22" s="8"/>
      <c r="G22" s="1"/>
      <c r="H22" s="7"/>
      <c r="I22" s="1"/>
      <c r="J22" s="9" t="str">
        <f t="shared" si="0"/>
        <v/>
      </c>
      <c r="K22" s="1"/>
      <c r="L22" s="1"/>
    </row>
    <row r="23" spans="1:12" ht="16.8" x14ac:dyDescent="0.4">
      <c r="A23" s="1"/>
      <c r="B23" s="6"/>
      <c r="C23" s="7"/>
      <c r="D23" s="7"/>
      <c r="E23" s="7"/>
      <c r="F23" s="8"/>
      <c r="G23" s="1"/>
      <c r="H23" s="7"/>
      <c r="I23" s="1"/>
      <c r="J23" s="9" t="str">
        <f t="shared" si="0"/>
        <v/>
      </c>
      <c r="K23" s="1"/>
      <c r="L23" s="1"/>
    </row>
    <row r="24" spans="1:12" ht="16.8" x14ac:dyDescent="0.4">
      <c r="A24" s="1"/>
      <c r="B24" s="6"/>
      <c r="C24" s="7"/>
      <c r="D24" s="7"/>
      <c r="E24" s="7"/>
      <c r="F24" s="8"/>
      <c r="G24" s="1"/>
      <c r="H24" s="7"/>
      <c r="I24" s="1"/>
      <c r="J24" s="9" t="str">
        <f t="shared" si="0"/>
        <v/>
      </c>
      <c r="K24" s="1"/>
      <c r="L24" s="1"/>
    </row>
    <row r="25" spans="1:12" ht="16.8" x14ac:dyDescent="0.4">
      <c r="A25" s="1"/>
      <c r="B25" s="6"/>
      <c r="C25" s="7"/>
      <c r="D25" s="7"/>
      <c r="E25" s="7"/>
      <c r="F25" s="8"/>
      <c r="G25" s="1"/>
      <c r="H25" s="7"/>
      <c r="I25" s="1"/>
      <c r="J25" s="9" t="str">
        <f t="shared" si="0"/>
        <v/>
      </c>
      <c r="K25" s="1"/>
      <c r="L25" s="1"/>
    </row>
    <row r="26" spans="1:12" ht="16.8" x14ac:dyDescent="0.4">
      <c r="A26" s="1"/>
      <c r="B26" s="6"/>
      <c r="C26" s="7"/>
      <c r="D26" s="7"/>
      <c r="E26" s="7"/>
      <c r="F26" s="8"/>
      <c r="G26" s="1"/>
      <c r="H26" s="7"/>
      <c r="I26" s="1"/>
      <c r="J26" s="9" t="str">
        <f t="shared" si="0"/>
        <v/>
      </c>
      <c r="K26" s="1"/>
      <c r="L26" s="1"/>
    </row>
    <row r="27" spans="1:12" ht="16.8" x14ac:dyDescent="0.4">
      <c r="A27" s="1"/>
      <c r="B27" s="6"/>
      <c r="C27" s="7"/>
      <c r="D27" s="7"/>
      <c r="E27" s="7"/>
      <c r="F27" s="8"/>
      <c r="G27" s="1"/>
      <c r="H27" s="7"/>
      <c r="I27" s="1"/>
      <c r="J27" s="9" t="str">
        <f t="shared" si="0"/>
        <v/>
      </c>
      <c r="K27" s="1"/>
      <c r="L27" s="1"/>
    </row>
    <row r="28" spans="1:12" ht="16.8" x14ac:dyDescent="0.4">
      <c r="A28" s="1"/>
      <c r="B28" s="6"/>
      <c r="C28" s="7"/>
      <c r="D28" s="7"/>
      <c r="E28" s="7"/>
      <c r="F28" s="8"/>
      <c r="G28" s="1"/>
      <c r="H28" s="7"/>
      <c r="I28" s="1"/>
      <c r="J28" s="9" t="str">
        <f t="shared" si="0"/>
        <v/>
      </c>
      <c r="K28" s="1"/>
      <c r="L28" s="1"/>
    </row>
    <row r="29" spans="1:12" ht="16.8" x14ac:dyDescent="0.4">
      <c r="A29" s="1"/>
      <c r="B29" s="6"/>
      <c r="C29" s="7"/>
      <c r="D29" s="7"/>
      <c r="E29" s="7"/>
      <c r="F29" s="8"/>
      <c r="G29" s="1"/>
      <c r="H29" s="7"/>
      <c r="I29" s="1"/>
      <c r="J29" s="9" t="str">
        <f t="shared" si="0"/>
        <v/>
      </c>
      <c r="K29" s="1"/>
      <c r="L29" s="1"/>
    </row>
    <row r="30" spans="1:12" ht="16.8" x14ac:dyDescent="0.4">
      <c r="A30" s="1"/>
      <c r="B30" s="6"/>
      <c r="C30" s="7"/>
      <c r="D30" s="7"/>
      <c r="E30" s="7"/>
      <c r="F30" s="8"/>
      <c r="G30" s="1"/>
      <c r="H30" s="7"/>
      <c r="I30" s="1"/>
      <c r="J30" s="9" t="str">
        <f t="shared" si="0"/>
        <v/>
      </c>
      <c r="K30" s="1"/>
      <c r="L30" s="1"/>
    </row>
    <row r="31" spans="1:12" ht="16.8" x14ac:dyDescent="0.4">
      <c r="A31" s="1"/>
      <c r="B31" s="6"/>
      <c r="C31" s="7"/>
      <c r="D31" s="7"/>
      <c r="E31" s="7"/>
      <c r="F31" s="8"/>
      <c r="G31" s="1"/>
      <c r="H31" s="7"/>
      <c r="I31" s="1"/>
      <c r="J31" s="9" t="str">
        <f t="shared" si="0"/>
        <v/>
      </c>
      <c r="K31" s="1"/>
      <c r="L31" s="1"/>
    </row>
    <row r="32" spans="1:12" ht="16.8" x14ac:dyDescent="0.4">
      <c r="A32" s="1"/>
      <c r="B32" s="6"/>
      <c r="C32" s="7"/>
      <c r="D32" s="7"/>
      <c r="E32" s="7"/>
      <c r="F32" s="8"/>
      <c r="G32" s="1"/>
      <c r="H32" s="7"/>
      <c r="I32" s="1"/>
      <c r="J32" s="9" t="str">
        <f t="shared" si="0"/>
        <v/>
      </c>
      <c r="K32" s="1"/>
      <c r="L32" s="1"/>
    </row>
    <row r="33" spans="1:12" ht="16.8" x14ac:dyDescent="0.4">
      <c r="A33" s="1"/>
      <c r="B33" s="6"/>
      <c r="C33" s="7"/>
      <c r="D33" s="7"/>
      <c r="E33" s="7"/>
      <c r="F33" s="8"/>
      <c r="G33" s="1"/>
      <c r="H33" s="7"/>
      <c r="I33" s="1"/>
      <c r="J33" s="9" t="str">
        <f t="shared" si="0"/>
        <v/>
      </c>
      <c r="K33" s="1"/>
      <c r="L33" s="1"/>
    </row>
    <row r="34" spans="1:12" ht="16.8" x14ac:dyDescent="0.4">
      <c r="A34" s="1"/>
      <c r="B34" s="6"/>
      <c r="C34" s="7"/>
      <c r="D34" s="7"/>
      <c r="E34" s="7"/>
      <c r="F34" s="8"/>
      <c r="G34" s="1"/>
      <c r="H34" s="7"/>
      <c r="I34" s="1"/>
      <c r="J34" s="9" t="str">
        <f t="shared" si="0"/>
        <v/>
      </c>
      <c r="K34" s="1"/>
      <c r="L34" s="1"/>
    </row>
    <row r="35" spans="1:12" ht="16.8" x14ac:dyDescent="0.4">
      <c r="A35" s="1"/>
      <c r="B35" s="6"/>
      <c r="C35" s="7"/>
      <c r="D35" s="7"/>
      <c r="E35" s="7"/>
      <c r="F35" s="8"/>
      <c r="G35" s="1"/>
      <c r="H35" s="7"/>
      <c r="I35" s="1"/>
      <c r="J35" s="9" t="str">
        <f t="shared" si="0"/>
        <v/>
      </c>
      <c r="K35" s="1"/>
      <c r="L35" s="1"/>
    </row>
    <row r="36" spans="1:12" ht="16.8" x14ac:dyDescent="0.4">
      <c r="A36" s="1"/>
      <c r="B36" s="6"/>
      <c r="C36" s="7"/>
      <c r="D36" s="7"/>
      <c r="E36" s="7"/>
      <c r="F36" s="8"/>
      <c r="G36" s="1"/>
      <c r="H36" s="7"/>
      <c r="I36" s="1"/>
      <c r="J36" s="9" t="str">
        <f t="shared" si="0"/>
        <v/>
      </c>
      <c r="K36" s="1"/>
      <c r="L36" s="1"/>
    </row>
    <row r="37" spans="1:12" ht="16.8" x14ac:dyDescent="0.4">
      <c r="A37" s="1"/>
      <c r="B37" s="6"/>
      <c r="C37" s="7"/>
      <c r="D37" s="7"/>
      <c r="E37" s="7"/>
      <c r="F37" s="8"/>
      <c r="G37" s="1"/>
      <c r="H37" s="7"/>
      <c r="I37" s="1"/>
      <c r="J37" s="9" t="str">
        <f t="shared" si="0"/>
        <v/>
      </c>
      <c r="K37" s="1"/>
      <c r="L37" s="1"/>
    </row>
    <row r="38" spans="1:12" ht="16.8" x14ac:dyDescent="0.4">
      <c r="A38" s="1"/>
      <c r="B38" s="6"/>
      <c r="C38" s="7"/>
      <c r="D38" s="7"/>
      <c r="E38" s="7"/>
      <c r="F38" s="8"/>
      <c r="G38" s="1"/>
      <c r="H38" s="7"/>
      <c r="I38" s="1"/>
      <c r="J38" s="9" t="str">
        <f t="shared" si="0"/>
        <v/>
      </c>
      <c r="K38" s="1"/>
      <c r="L38" s="1"/>
    </row>
    <row r="39" spans="1:12" ht="16.8" x14ac:dyDescent="0.4">
      <c r="A39" s="1"/>
      <c r="B39" s="6"/>
      <c r="C39" s="7"/>
      <c r="D39" s="7"/>
      <c r="E39" s="7"/>
      <c r="F39" s="8"/>
      <c r="G39" s="1"/>
      <c r="H39" s="7"/>
      <c r="I39" s="1"/>
      <c r="J39" s="9" t="str">
        <f t="shared" si="0"/>
        <v/>
      </c>
      <c r="K39" s="1"/>
      <c r="L39" s="1"/>
    </row>
    <row r="40" spans="1:12" ht="16.8" x14ac:dyDescent="0.4">
      <c r="A40" s="1"/>
      <c r="B40" s="6"/>
      <c r="C40" s="7"/>
      <c r="D40" s="7"/>
      <c r="E40" s="7"/>
      <c r="F40" s="8"/>
      <c r="G40" s="1"/>
      <c r="H40" s="7"/>
      <c r="I40" s="1"/>
      <c r="J40" s="9" t="str">
        <f t="shared" si="0"/>
        <v/>
      </c>
      <c r="K40" s="1"/>
      <c r="L40" s="1"/>
    </row>
    <row r="41" spans="1:12" ht="16.8" x14ac:dyDescent="0.4">
      <c r="A41" s="1"/>
      <c r="B41" s="6"/>
      <c r="C41" s="7"/>
      <c r="D41" s="7"/>
      <c r="E41" s="7"/>
      <c r="F41" s="8"/>
      <c r="G41" s="1"/>
      <c r="H41" s="7"/>
      <c r="I41" s="1"/>
      <c r="J41" s="9" t="str">
        <f t="shared" si="0"/>
        <v/>
      </c>
      <c r="K41" s="1"/>
      <c r="L41" s="1"/>
    </row>
    <row r="42" spans="1:12" ht="16.8" x14ac:dyDescent="0.4">
      <c r="A42" s="1"/>
      <c r="B42" s="6"/>
      <c r="C42" s="7"/>
      <c r="D42" s="7"/>
      <c r="E42" s="7"/>
      <c r="F42" s="8"/>
      <c r="G42" s="1"/>
      <c r="H42" s="7"/>
      <c r="I42" s="1"/>
      <c r="J42" s="9" t="str">
        <f t="shared" si="0"/>
        <v/>
      </c>
      <c r="K42" s="1"/>
      <c r="L42" s="1"/>
    </row>
    <row r="43" spans="1:12" ht="16.8" x14ac:dyDescent="0.4">
      <c r="A43" s="1"/>
      <c r="B43" s="6"/>
      <c r="C43" s="7"/>
      <c r="D43" s="7"/>
      <c r="E43" s="7"/>
      <c r="F43" s="8"/>
      <c r="G43" s="1"/>
      <c r="H43" s="7"/>
      <c r="I43" s="1"/>
      <c r="J43" s="9" t="str">
        <f t="shared" si="0"/>
        <v/>
      </c>
      <c r="K43" s="1"/>
      <c r="L43" s="1"/>
    </row>
    <row r="44" spans="1:12" ht="16.8" x14ac:dyDescent="0.4">
      <c r="A44" s="1"/>
      <c r="B44" s="6"/>
      <c r="C44" s="7"/>
      <c r="D44" s="7"/>
      <c r="E44" s="7"/>
      <c r="F44" s="8"/>
      <c r="G44" s="1"/>
      <c r="H44" s="7"/>
      <c r="I44" s="1"/>
      <c r="J44" s="9" t="str">
        <f t="shared" si="0"/>
        <v/>
      </c>
      <c r="K44" s="1"/>
      <c r="L44" s="1"/>
    </row>
    <row r="45" spans="1:12" ht="16.8" x14ac:dyDescent="0.4">
      <c r="A45" s="1"/>
      <c r="B45" s="6"/>
      <c r="C45" s="7"/>
      <c r="D45" s="7"/>
      <c r="E45" s="7"/>
      <c r="F45" s="8"/>
      <c r="G45" s="1"/>
      <c r="H45" s="7"/>
      <c r="I45" s="1"/>
      <c r="J45" s="9" t="str">
        <f t="shared" si="0"/>
        <v/>
      </c>
      <c r="K45" s="1"/>
      <c r="L45" s="1"/>
    </row>
    <row r="46" spans="1:12" ht="16.8" x14ac:dyDescent="0.4">
      <c r="A46" s="1"/>
      <c r="B46" s="6"/>
      <c r="C46" s="7"/>
      <c r="D46" s="7"/>
      <c r="E46" s="7"/>
      <c r="F46" s="8"/>
      <c r="G46" s="1"/>
      <c r="H46" s="7"/>
      <c r="I46" s="1"/>
      <c r="J46" s="9" t="str">
        <f t="shared" si="0"/>
        <v/>
      </c>
      <c r="K46" s="1"/>
      <c r="L46" s="1"/>
    </row>
    <row r="47" spans="1:12" ht="16.8" x14ac:dyDescent="0.4">
      <c r="A47" s="1"/>
      <c r="B47" s="6"/>
      <c r="C47" s="7"/>
      <c r="D47" s="7"/>
      <c r="E47" s="7"/>
      <c r="F47" s="8"/>
      <c r="G47" s="1"/>
      <c r="H47" s="7"/>
      <c r="I47" s="1"/>
      <c r="J47" s="9" t="str">
        <f t="shared" si="0"/>
        <v/>
      </c>
      <c r="K47" s="1"/>
      <c r="L47" s="1"/>
    </row>
    <row r="48" spans="1:12" ht="16.8" x14ac:dyDescent="0.4">
      <c r="A48" s="1"/>
      <c r="B48" s="6"/>
      <c r="C48" s="7"/>
      <c r="D48" s="7"/>
      <c r="E48" s="7"/>
      <c r="F48" s="8"/>
      <c r="G48" s="1"/>
      <c r="H48" s="7"/>
      <c r="I48" s="1"/>
      <c r="J48" s="9" t="str">
        <f t="shared" si="0"/>
        <v/>
      </c>
      <c r="K48" s="1"/>
      <c r="L48" s="1"/>
    </row>
    <row r="49" spans="1:12" ht="16.8" x14ac:dyDescent="0.4">
      <c r="A49" s="1"/>
      <c r="B49" s="6"/>
      <c r="C49" s="7"/>
      <c r="D49" s="7"/>
      <c r="E49" s="7"/>
      <c r="F49" s="8"/>
      <c r="G49" s="1"/>
      <c r="H49" s="7"/>
      <c r="I49" s="1"/>
      <c r="J49" s="9" t="str">
        <f t="shared" si="0"/>
        <v/>
      </c>
      <c r="K49" s="1"/>
      <c r="L49" s="1"/>
    </row>
    <row r="50" spans="1:12" ht="16.8" x14ac:dyDescent="0.4">
      <c r="A50" s="1"/>
      <c r="B50" s="6"/>
      <c r="C50" s="7"/>
      <c r="D50" s="7"/>
      <c r="E50" s="7"/>
      <c r="F50" s="8"/>
      <c r="G50" s="1"/>
      <c r="H50" s="7"/>
      <c r="I50" s="1"/>
      <c r="J50" s="9" t="str">
        <f t="shared" si="0"/>
        <v/>
      </c>
      <c r="K50" s="1"/>
      <c r="L50" s="1"/>
    </row>
    <row r="51" spans="1:12" ht="16.8" x14ac:dyDescent="0.4">
      <c r="A51" s="1"/>
      <c r="B51" s="6"/>
      <c r="C51" s="7"/>
      <c r="D51" s="7"/>
      <c r="E51" s="7"/>
      <c r="F51" s="8"/>
      <c r="G51" s="1"/>
      <c r="H51" s="7"/>
      <c r="I51" s="1"/>
      <c r="J51" s="9" t="str">
        <f t="shared" si="0"/>
        <v/>
      </c>
      <c r="K51" s="1"/>
      <c r="L51" s="1"/>
    </row>
    <row r="52" spans="1:12" ht="16.8" x14ac:dyDescent="0.4">
      <c r="A52" s="1"/>
      <c r="B52" s="6"/>
      <c r="C52" s="7"/>
      <c r="D52" s="7"/>
      <c r="E52" s="7"/>
      <c r="F52" s="8"/>
      <c r="G52" s="1"/>
      <c r="H52" s="7"/>
      <c r="I52" s="1"/>
      <c r="J52" s="9" t="str">
        <f t="shared" si="0"/>
        <v/>
      </c>
      <c r="K52" s="1"/>
      <c r="L52" s="1"/>
    </row>
    <row r="53" spans="1:12" ht="16.8" x14ac:dyDescent="0.4">
      <c r="A53" s="1"/>
      <c r="B53" s="6"/>
      <c r="C53" s="7"/>
      <c r="D53" s="7"/>
      <c r="E53" s="7"/>
      <c r="F53" s="8"/>
      <c r="G53" s="1"/>
      <c r="H53" s="7"/>
      <c r="I53" s="1"/>
      <c r="J53" s="9" t="str">
        <f t="shared" si="0"/>
        <v/>
      </c>
      <c r="K53" s="1"/>
      <c r="L53" s="1"/>
    </row>
    <row r="54" spans="1:12" ht="16.8" x14ac:dyDescent="0.4">
      <c r="A54" s="1"/>
      <c r="B54" s="6"/>
      <c r="C54" s="7"/>
      <c r="D54" s="7"/>
      <c r="E54" s="7"/>
      <c r="F54" s="8"/>
      <c r="G54" s="1"/>
      <c r="H54" s="7"/>
      <c r="I54" s="1"/>
      <c r="J54" s="9" t="str">
        <f t="shared" si="0"/>
        <v/>
      </c>
      <c r="K54" s="1"/>
      <c r="L54" s="1"/>
    </row>
    <row r="55" spans="1:12" ht="16.8" x14ac:dyDescent="0.4">
      <c r="A55" s="1"/>
      <c r="B55" s="6"/>
      <c r="C55" s="7"/>
      <c r="D55" s="7"/>
      <c r="E55" s="7"/>
      <c r="F55" s="8"/>
      <c r="G55" s="1"/>
      <c r="H55" s="7"/>
      <c r="I55" s="1"/>
      <c r="J55" s="9" t="str">
        <f t="shared" si="0"/>
        <v/>
      </c>
      <c r="K55" s="1"/>
      <c r="L55" s="1"/>
    </row>
    <row r="56" spans="1:12" ht="16.8" x14ac:dyDescent="0.4">
      <c r="A56" s="1"/>
      <c r="B56" s="6"/>
      <c r="C56" s="7"/>
      <c r="D56" s="7"/>
      <c r="E56" s="7"/>
      <c r="F56" s="8"/>
      <c r="G56" s="1"/>
      <c r="H56" s="7"/>
      <c r="I56" s="1"/>
      <c r="J56" s="9" t="str">
        <f t="shared" si="0"/>
        <v/>
      </c>
      <c r="K56" s="1"/>
      <c r="L56" s="1"/>
    </row>
    <row r="57" spans="1:12" ht="16.8" x14ac:dyDescent="0.4">
      <c r="A57" s="1"/>
      <c r="B57" s="6"/>
      <c r="C57" s="7"/>
      <c r="D57" s="7"/>
      <c r="E57" s="7"/>
      <c r="F57" s="8"/>
      <c r="G57" s="1"/>
      <c r="H57" s="7"/>
      <c r="I57" s="1"/>
      <c r="J57" s="9" t="str">
        <f t="shared" si="0"/>
        <v/>
      </c>
      <c r="K57" s="1"/>
      <c r="L57" s="1"/>
    </row>
    <row r="58" spans="1:12" ht="16.8" x14ac:dyDescent="0.4">
      <c r="A58" s="1"/>
      <c r="B58" s="6"/>
      <c r="C58" s="7"/>
      <c r="D58" s="7"/>
      <c r="E58" s="7"/>
      <c r="F58" s="8"/>
      <c r="G58" s="1"/>
      <c r="H58" s="7"/>
      <c r="I58" s="1"/>
      <c r="J58" s="9" t="str">
        <f t="shared" si="0"/>
        <v/>
      </c>
      <c r="K58" s="1"/>
      <c r="L58" s="1"/>
    </row>
    <row r="59" spans="1:12" ht="16.8" x14ac:dyDescent="0.4">
      <c r="A59" s="1"/>
      <c r="B59" s="6"/>
      <c r="C59" s="7"/>
      <c r="D59" s="7"/>
      <c r="E59" s="7"/>
      <c r="F59" s="8"/>
      <c r="G59" s="1"/>
      <c r="H59" s="7"/>
      <c r="I59" s="1"/>
      <c r="J59" s="9" t="str">
        <f t="shared" si="0"/>
        <v/>
      </c>
      <c r="K59" s="1"/>
      <c r="L59" s="1"/>
    </row>
    <row r="60" spans="1:12" ht="16.8" x14ac:dyDescent="0.4">
      <c r="A60" s="1"/>
      <c r="B60" s="6"/>
      <c r="C60" s="7"/>
      <c r="D60" s="7"/>
      <c r="E60" s="7"/>
      <c r="F60" s="8"/>
      <c r="G60" s="1"/>
      <c r="H60" s="7"/>
      <c r="I60" s="1"/>
      <c r="J60" s="9" t="str">
        <f t="shared" si="0"/>
        <v/>
      </c>
      <c r="K60" s="1"/>
      <c r="L60" s="1"/>
    </row>
    <row r="61" spans="1:12" ht="16.8" x14ac:dyDescent="0.4">
      <c r="A61" s="1"/>
      <c r="B61" s="6"/>
      <c r="C61" s="7"/>
      <c r="D61" s="7"/>
      <c r="E61" s="7"/>
      <c r="F61" s="8"/>
      <c r="G61" s="1"/>
      <c r="H61" s="7"/>
      <c r="I61" s="1"/>
      <c r="J61" s="9" t="str">
        <f t="shared" si="0"/>
        <v/>
      </c>
      <c r="K61" s="1"/>
      <c r="L61" s="1"/>
    </row>
    <row r="62" spans="1:12" ht="16.8" x14ac:dyDescent="0.4">
      <c r="A62" s="1"/>
      <c r="B62" s="6"/>
      <c r="C62" s="7"/>
      <c r="D62" s="7"/>
      <c r="E62" s="7"/>
      <c r="F62" s="8"/>
      <c r="G62" s="1"/>
      <c r="H62" s="7"/>
      <c r="I62" s="1"/>
      <c r="J62" s="9" t="str">
        <f t="shared" si="0"/>
        <v/>
      </c>
      <c r="K62" s="1"/>
      <c r="L62" s="1"/>
    </row>
    <row r="63" spans="1:12" ht="16.8" x14ac:dyDescent="0.4">
      <c r="A63" s="1"/>
      <c r="B63" s="6"/>
      <c r="C63" s="7"/>
      <c r="D63" s="7"/>
      <c r="E63" s="7"/>
      <c r="F63" s="8"/>
      <c r="G63" s="1"/>
      <c r="H63" s="7"/>
      <c r="I63" s="1"/>
      <c r="J63" s="9" t="str">
        <f t="shared" si="0"/>
        <v/>
      </c>
      <c r="K63" s="1"/>
      <c r="L63" s="1"/>
    </row>
    <row r="64" spans="1:12" ht="16.8" x14ac:dyDescent="0.4">
      <c r="A64" s="1"/>
      <c r="B64" s="6"/>
      <c r="C64" s="7"/>
      <c r="D64" s="7"/>
      <c r="E64" s="7"/>
      <c r="F64" s="8"/>
      <c r="G64" s="1"/>
      <c r="H64" s="7"/>
      <c r="I64" s="1"/>
      <c r="J64" s="9" t="str">
        <f t="shared" si="0"/>
        <v/>
      </c>
      <c r="K64" s="1"/>
      <c r="L64" s="1"/>
    </row>
    <row r="65" spans="1:12" ht="16.8" x14ac:dyDescent="0.4">
      <c r="A65" s="1"/>
      <c r="B65" s="6"/>
      <c r="C65" s="7"/>
      <c r="D65" s="7"/>
      <c r="E65" s="7"/>
      <c r="F65" s="8"/>
      <c r="G65" s="1"/>
      <c r="H65" s="7"/>
      <c r="I65" s="1"/>
      <c r="J65" s="9" t="str">
        <f t="shared" si="0"/>
        <v/>
      </c>
      <c r="K65" s="1"/>
      <c r="L65" s="1"/>
    </row>
    <row r="66" spans="1:12" ht="16.8" x14ac:dyDescent="0.4">
      <c r="A66" s="1"/>
      <c r="B66" s="6"/>
      <c r="C66" s="7"/>
      <c r="D66" s="7"/>
      <c r="E66" s="7"/>
      <c r="F66" s="8"/>
      <c r="G66" s="1"/>
      <c r="H66" s="7"/>
      <c r="I66" s="1"/>
      <c r="J66" s="9" t="str">
        <f t="shared" si="0"/>
        <v/>
      </c>
      <c r="K66" s="1"/>
      <c r="L66" s="1"/>
    </row>
    <row r="67" spans="1:12" ht="16.8" x14ac:dyDescent="0.4">
      <c r="A67" s="1"/>
      <c r="B67" s="6"/>
      <c r="C67" s="7"/>
      <c r="D67" s="7"/>
      <c r="E67" s="7"/>
      <c r="F67" s="8"/>
      <c r="G67" s="1"/>
      <c r="H67" s="7"/>
      <c r="I67" s="1"/>
      <c r="J67" s="9" t="str">
        <f t="shared" si="0"/>
        <v/>
      </c>
      <c r="K67" s="1"/>
      <c r="L67" s="1"/>
    </row>
    <row r="68" spans="1:12" ht="16.8" x14ac:dyDescent="0.4">
      <c r="A68" s="1"/>
      <c r="B68" s="6"/>
      <c r="C68" s="7"/>
      <c r="D68" s="7"/>
      <c r="E68" s="7"/>
      <c r="F68" s="8"/>
      <c r="G68" s="1"/>
      <c r="H68" s="7"/>
      <c r="I68" s="1"/>
      <c r="J68" s="9" t="str">
        <f t="shared" si="0"/>
        <v/>
      </c>
      <c r="K68" s="1"/>
      <c r="L68" s="1"/>
    </row>
    <row r="69" spans="1:12" ht="16.8" x14ac:dyDescent="0.4">
      <c r="A69" s="1"/>
      <c r="B69" s="6"/>
      <c r="C69" s="7"/>
      <c r="D69" s="7"/>
      <c r="E69" s="7"/>
      <c r="F69" s="8"/>
      <c r="G69" s="1"/>
      <c r="H69" s="7"/>
      <c r="I69" s="1"/>
      <c r="J69" s="9" t="str">
        <f t="shared" si="0"/>
        <v/>
      </c>
      <c r="K69" s="1"/>
      <c r="L69" s="1"/>
    </row>
    <row r="70" spans="1:12" ht="16.8" x14ac:dyDescent="0.4">
      <c r="A70" s="1"/>
      <c r="B70" s="6"/>
      <c r="C70" s="7"/>
      <c r="D70" s="7"/>
      <c r="E70" s="7"/>
      <c r="F70" s="8"/>
      <c r="G70" s="1"/>
      <c r="H70" s="7"/>
      <c r="I70" s="1"/>
      <c r="J70" s="9" t="str">
        <f t="shared" si="0"/>
        <v/>
      </c>
      <c r="K70" s="1"/>
      <c r="L70" s="1"/>
    </row>
    <row r="71" spans="1:12" ht="16.8" x14ac:dyDescent="0.4">
      <c r="A71" s="1"/>
      <c r="B71" s="6"/>
      <c r="C71" s="7"/>
      <c r="D71" s="7"/>
      <c r="E71" s="7"/>
      <c r="F71" s="8"/>
      <c r="G71" s="1"/>
      <c r="H71" s="7"/>
      <c r="I71" s="1"/>
      <c r="J71" s="9" t="str">
        <f t="shared" ref="J71:J134" si="1">IF($B71="","",TEXT($B71,"yyyy-mm"))</f>
        <v/>
      </c>
      <c r="K71" s="1"/>
      <c r="L71" s="1"/>
    </row>
    <row r="72" spans="1:12" ht="16.8" x14ac:dyDescent="0.4">
      <c r="A72" s="1"/>
      <c r="B72" s="6"/>
      <c r="C72" s="7"/>
      <c r="D72" s="7"/>
      <c r="E72" s="7"/>
      <c r="F72" s="8"/>
      <c r="G72" s="1"/>
      <c r="H72" s="7"/>
      <c r="I72" s="1"/>
      <c r="J72" s="9" t="str">
        <f t="shared" si="1"/>
        <v/>
      </c>
      <c r="K72" s="1"/>
      <c r="L72" s="1"/>
    </row>
    <row r="73" spans="1:12" ht="16.8" x14ac:dyDescent="0.4">
      <c r="A73" s="1"/>
      <c r="B73" s="6"/>
      <c r="C73" s="7"/>
      <c r="D73" s="7"/>
      <c r="E73" s="7"/>
      <c r="F73" s="8"/>
      <c r="G73" s="1"/>
      <c r="H73" s="7"/>
      <c r="I73" s="1"/>
      <c r="J73" s="9" t="str">
        <f t="shared" si="1"/>
        <v/>
      </c>
      <c r="K73" s="1"/>
      <c r="L73" s="1"/>
    </row>
    <row r="74" spans="1:12" ht="16.8" x14ac:dyDescent="0.4">
      <c r="A74" s="1"/>
      <c r="B74" s="6"/>
      <c r="C74" s="7"/>
      <c r="D74" s="7"/>
      <c r="E74" s="7"/>
      <c r="F74" s="8"/>
      <c r="G74" s="1"/>
      <c r="H74" s="7"/>
      <c r="I74" s="1"/>
      <c r="J74" s="9" t="str">
        <f t="shared" si="1"/>
        <v/>
      </c>
      <c r="K74" s="1"/>
      <c r="L74" s="1"/>
    </row>
    <row r="75" spans="1:12" ht="16.8" x14ac:dyDescent="0.4">
      <c r="A75" s="1"/>
      <c r="B75" s="6"/>
      <c r="C75" s="7"/>
      <c r="D75" s="7"/>
      <c r="E75" s="7"/>
      <c r="F75" s="8"/>
      <c r="G75" s="1"/>
      <c r="H75" s="7"/>
      <c r="I75" s="1"/>
      <c r="J75" s="9" t="str">
        <f t="shared" si="1"/>
        <v/>
      </c>
      <c r="K75" s="1"/>
      <c r="L75" s="1"/>
    </row>
    <row r="76" spans="1:12" ht="16.8" x14ac:dyDescent="0.4">
      <c r="A76" s="1"/>
      <c r="B76" s="6"/>
      <c r="C76" s="7"/>
      <c r="D76" s="7"/>
      <c r="E76" s="7"/>
      <c r="F76" s="8"/>
      <c r="G76" s="1"/>
      <c r="H76" s="7"/>
      <c r="I76" s="1"/>
      <c r="J76" s="9" t="str">
        <f t="shared" si="1"/>
        <v/>
      </c>
      <c r="K76" s="1"/>
      <c r="L76" s="1"/>
    </row>
    <row r="77" spans="1:12" ht="16.8" x14ac:dyDescent="0.4">
      <c r="A77" s="1"/>
      <c r="B77" s="6"/>
      <c r="C77" s="7"/>
      <c r="D77" s="7"/>
      <c r="E77" s="7"/>
      <c r="F77" s="8"/>
      <c r="G77" s="1"/>
      <c r="H77" s="7"/>
      <c r="I77" s="1"/>
      <c r="J77" s="9" t="str">
        <f t="shared" si="1"/>
        <v/>
      </c>
      <c r="K77" s="1"/>
      <c r="L77" s="1"/>
    </row>
    <row r="78" spans="1:12" ht="16.8" x14ac:dyDescent="0.4">
      <c r="A78" s="1"/>
      <c r="B78" s="6"/>
      <c r="C78" s="7"/>
      <c r="D78" s="7"/>
      <c r="E78" s="7"/>
      <c r="F78" s="8"/>
      <c r="G78" s="1"/>
      <c r="H78" s="7"/>
      <c r="I78" s="1"/>
      <c r="J78" s="9" t="str">
        <f t="shared" si="1"/>
        <v/>
      </c>
      <c r="K78" s="1"/>
      <c r="L78" s="1"/>
    </row>
    <row r="79" spans="1:12" ht="16.8" x14ac:dyDescent="0.4">
      <c r="A79" s="1"/>
      <c r="B79" s="6"/>
      <c r="C79" s="7"/>
      <c r="D79" s="7"/>
      <c r="E79" s="7"/>
      <c r="F79" s="8"/>
      <c r="G79" s="1"/>
      <c r="H79" s="7"/>
      <c r="I79" s="1"/>
      <c r="J79" s="9" t="str">
        <f t="shared" si="1"/>
        <v/>
      </c>
      <c r="K79" s="1"/>
      <c r="L79" s="1"/>
    </row>
    <row r="80" spans="1:12" ht="16.8" x14ac:dyDescent="0.4">
      <c r="A80" s="1"/>
      <c r="B80" s="6"/>
      <c r="C80" s="7"/>
      <c r="D80" s="7"/>
      <c r="E80" s="7"/>
      <c r="F80" s="8"/>
      <c r="G80" s="1"/>
      <c r="H80" s="7"/>
      <c r="I80" s="1"/>
      <c r="J80" s="9" t="str">
        <f t="shared" si="1"/>
        <v/>
      </c>
      <c r="K80" s="1"/>
      <c r="L80" s="1"/>
    </row>
    <row r="81" spans="1:12" ht="16.8" x14ac:dyDescent="0.4">
      <c r="A81" s="1"/>
      <c r="B81" s="6"/>
      <c r="C81" s="7"/>
      <c r="D81" s="7"/>
      <c r="E81" s="7"/>
      <c r="F81" s="8"/>
      <c r="G81" s="1"/>
      <c r="H81" s="7"/>
      <c r="I81" s="1"/>
      <c r="J81" s="9" t="str">
        <f t="shared" si="1"/>
        <v/>
      </c>
      <c r="K81" s="1"/>
      <c r="L81" s="1"/>
    </row>
    <row r="82" spans="1:12" ht="16.8" x14ac:dyDescent="0.4">
      <c r="A82" s="1"/>
      <c r="B82" s="6"/>
      <c r="C82" s="7"/>
      <c r="D82" s="7"/>
      <c r="E82" s="7"/>
      <c r="F82" s="8"/>
      <c r="G82" s="1"/>
      <c r="H82" s="7"/>
      <c r="I82" s="1"/>
      <c r="J82" s="9" t="str">
        <f t="shared" si="1"/>
        <v/>
      </c>
      <c r="K82" s="1"/>
      <c r="L82" s="1"/>
    </row>
    <row r="83" spans="1:12" ht="16.8" x14ac:dyDescent="0.4">
      <c r="A83" s="1"/>
      <c r="B83" s="6"/>
      <c r="C83" s="7"/>
      <c r="D83" s="7"/>
      <c r="E83" s="7"/>
      <c r="F83" s="8"/>
      <c r="G83" s="1"/>
      <c r="H83" s="7"/>
      <c r="I83" s="1"/>
      <c r="J83" s="9" t="str">
        <f t="shared" si="1"/>
        <v/>
      </c>
      <c r="K83" s="1"/>
      <c r="L83" s="1"/>
    </row>
    <row r="84" spans="1:12" ht="16.8" x14ac:dyDescent="0.4">
      <c r="A84" s="1"/>
      <c r="B84" s="6"/>
      <c r="C84" s="7"/>
      <c r="D84" s="7"/>
      <c r="E84" s="7"/>
      <c r="F84" s="8"/>
      <c r="G84" s="1"/>
      <c r="H84" s="7"/>
      <c r="I84" s="1"/>
      <c r="J84" s="9" t="str">
        <f t="shared" si="1"/>
        <v/>
      </c>
      <c r="K84" s="1"/>
      <c r="L84" s="1"/>
    </row>
    <row r="85" spans="1:12" ht="16.8" x14ac:dyDescent="0.4">
      <c r="A85" s="1"/>
      <c r="B85" s="6"/>
      <c r="C85" s="7"/>
      <c r="D85" s="7"/>
      <c r="E85" s="7"/>
      <c r="F85" s="8"/>
      <c r="G85" s="1"/>
      <c r="H85" s="7"/>
      <c r="I85" s="1"/>
      <c r="J85" s="9" t="str">
        <f t="shared" si="1"/>
        <v/>
      </c>
      <c r="K85" s="1"/>
      <c r="L85" s="1"/>
    </row>
    <row r="86" spans="1:12" ht="16.8" x14ac:dyDescent="0.4">
      <c r="A86" s="1"/>
      <c r="B86" s="6"/>
      <c r="C86" s="7"/>
      <c r="D86" s="7"/>
      <c r="E86" s="7"/>
      <c r="F86" s="8"/>
      <c r="G86" s="1"/>
      <c r="H86" s="7"/>
      <c r="I86" s="1"/>
      <c r="J86" s="9" t="str">
        <f t="shared" si="1"/>
        <v/>
      </c>
      <c r="K86" s="1"/>
      <c r="L86" s="1"/>
    </row>
    <row r="87" spans="1:12" ht="16.8" x14ac:dyDescent="0.4">
      <c r="A87" s="1"/>
      <c r="B87" s="6"/>
      <c r="C87" s="7"/>
      <c r="D87" s="7"/>
      <c r="E87" s="7"/>
      <c r="F87" s="8"/>
      <c r="G87" s="1"/>
      <c r="H87" s="7"/>
      <c r="I87" s="1"/>
      <c r="J87" s="9" t="str">
        <f t="shared" si="1"/>
        <v/>
      </c>
      <c r="K87" s="1"/>
      <c r="L87" s="1"/>
    </row>
    <row r="88" spans="1:12" ht="16.8" x14ac:dyDescent="0.4">
      <c r="A88" s="1"/>
      <c r="B88" s="6"/>
      <c r="C88" s="7"/>
      <c r="D88" s="7"/>
      <c r="E88" s="7"/>
      <c r="F88" s="8"/>
      <c r="G88" s="1"/>
      <c r="H88" s="7"/>
      <c r="I88" s="1"/>
      <c r="J88" s="9" t="str">
        <f t="shared" si="1"/>
        <v/>
      </c>
      <c r="K88" s="1"/>
      <c r="L88" s="1"/>
    </row>
    <row r="89" spans="1:12" ht="16.8" x14ac:dyDescent="0.4">
      <c r="A89" s="1"/>
      <c r="B89" s="6"/>
      <c r="C89" s="7"/>
      <c r="D89" s="7"/>
      <c r="E89" s="7"/>
      <c r="F89" s="8"/>
      <c r="G89" s="1"/>
      <c r="H89" s="7"/>
      <c r="I89" s="1"/>
      <c r="J89" s="9" t="str">
        <f t="shared" si="1"/>
        <v/>
      </c>
      <c r="K89" s="1"/>
      <c r="L89" s="1"/>
    </row>
    <row r="90" spans="1:12" ht="16.8" x14ac:dyDescent="0.4">
      <c r="A90" s="1"/>
      <c r="B90" s="6"/>
      <c r="C90" s="7"/>
      <c r="D90" s="7"/>
      <c r="E90" s="7"/>
      <c r="F90" s="8"/>
      <c r="G90" s="1"/>
      <c r="H90" s="7"/>
      <c r="I90" s="1"/>
      <c r="J90" s="9" t="str">
        <f t="shared" si="1"/>
        <v/>
      </c>
      <c r="K90" s="1"/>
      <c r="L90" s="1"/>
    </row>
    <row r="91" spans="1:12" ht="16.8" x14ac:dyDescent="0.4">
      <c r="A91" s="1"/>
      <c r="B91" s="6"/>
      <c r="C91" s="7"/>
      <c r="D91" s="7"/>
      <c r="E91" s="7"/>
      <c r="F91" s="8"/>
      <c r="G91" s="1"/>
      <c r="H91" s="7"/>
      <c r="I91" s="1"/>
      <c r="J91" s="9" t="str">
        <f t="shared" si="1"/>
        <v/>
      </c>
      <c r="K91" s="1"/>
      <c r="L91" s="1"/>
    </row>
    <row r="92" spans="1:12" ht="16.8" x14ac:dyDescent="0.4">
      <c r="A92" s="1"/>
      <c r="B92" s="6"/>
      <c r="C92" s="7"/>
      <c r="D92" s="7"/>
      <c r="E92" s="7"/>
      <c r="F92" s="8"/>
      <c r="G92" s="1"/>
      <c r="H92" s="7"/>
      <c r="I92" s="1"/>
      <c r="J92" s="9" t="str">
        <f t="shared" si="1"/>
        <v/>
      </c>
      <c r="K92" s="1"/>
      <c r="L92" s="1"/>
    </row>
    <row r="93" spans="1:12" ht="16.8" x14ac:dyDescent="0.4">
      <c r="A93" s="1"/>
      <c r="B93" s="6"/>
      <c r="C93" s="7"/>
      <c r="D93" s="7"/>
      <c r="E93" s="7"/>
      <c r="F93" s="8"/>
      <c r="G93" s="1"/>
      <c r="H93" s="7"/>
      <c r="I93" s="1"/>
      <c r="J93" s="9" t="str">
        <f t="shared" si="1"/>
        <v/>
      </c>
      <c r="K93" s="1"/>
      <c r="L93" s="1"/>
    </row>
    <row r="94" spans="1:12" ht="16.8" x14ac:dyDescent="0.4">
      <c r="A94" s="1"/>
      <c r="B94" s="6"/>
      <c r="C94" s="7"/>
      <c r="D94" s="7"/>
      <c r="E94" s="7"/>
      <c r="F94" s="8"/>
      <c r="G94" s="1"/>
      <c r="H94" s="7"/>
      <c r="I94" s="1"/>
      <c r="J94" s="9" t="str">
        <f t="shared" si="1"/>
        <v/>
      </c>
      <c r="K94" s="1"/>
      <c r="L94" s="1"/>
    </row>
    <row r="95" spans="1:12" ht="16.8" x14ac:dyDescent="0.4">
      <c r="A95" s="1"/>
      <c r="B95" s="6"/>
      <c r="C95" s="7"/>
      <c r="D95" s="7"/>
      <c r="E95" s="7"/>
      <c r="F95" s="8"/>
      <c r="G95" s="1"/>
      <c r="H95" s="7"/>
      <c r="I95" s="1"/>
      <c r="J95" s="9" t="str">
        <f t="shared" si="1"/>
        <v/>
      </c>
      <c r="K95" s="1"/>
      <c r="L95" s="1"/>
    </row>
    <row r="96" spans="1:12" ht="16.8" x14ac:dyDescent="0.4">
      <c r="A96" s="1"/>
      <c r="B96" s="6"/>
      <c r="C96" s="7"/>
      <c r="D96" s="7"/>
      <c r="E96" s="7"/>
      <c r="F96" s="8"/>
      <c r="G96" s="1"/>
      <c r="H96" s="7"/>
      <c r="I96" s="1"/>
      <c r="J96" s="9" t="str">
        <f t="shared" si="1"/>
        <v/>
      </c>
      <c r="K96" s="1"/>
      <c r="L96" s="1"/>
    </row>
    <row r="97" spans="1:12" ht="16.8" x14ac:dyDescent="0.4">
      <c r="A97" s="1"/>
      <c r="B97" s="6"/>
      <c r="C97" s="7"/>
      <c r="D97" s="7"/>
      <c r="E97" s="7"/>
      <c r="F97" s="8"/>
      <c r="G97" s="1"/>
      <c r="H97" s="7"/>
      <c r="I97" s="1"/>
      <c r="J97" s="9" t="str">
        <f t="shared" si="1"/>
        <v/>
      </c>
      <c r="K97" s="1"/>
      <c r="L97" s="1"/>
    </row>
    <row r="98" spans="1:12" ht="16.8" x14ac:dyDescent="0.4">
      <c r="A98" s="1"/>
      <c r="B98" s="6"/>
      <c r="C98" s="7"/>
      <c r="D98" s="7"/>
      <c r="E98" s="7"/>
      <c r="F98" s="8"/>
      <c r="G98" s="1"/>
      <c r="H98" s="7"/>
      <c r="I98" s="1"/>
      <c r="J98" s="9" t="str">
        <f t="shared" si="1"/>
        <v/>
      </c>
      <c r="K98" s="1"/>
      <c r="L98" s="1"/>
    </row>
    <row r="99" spans="1:12" ht="16.8" x14ac:dyDescent="0.4">
      <c r="A99" s="1"/>
      <c r="B99" s="6"/>
      <c r="C99" s="7"/>
      <c r="D99" s="7"/>
      <c r="E99" s="7"/>
      <c r="F99" s="8"/>
      <c r="G99" s="1"/>
      <c r="H99" s="7"/>
      <c r="I99" s="1"/>
      <c r="J99" s="9" t="str">
        <f t="shared" si="1"/>
        <v/>
      </c>
      <c r="K99" s="1"/>
      <c r="L99" s="1"/>
    </row>
    <row r="100" spans="1:12" ht="16.8" x14ac:dyDescent="0.4">
      <c r="A100" s="1"/>
      <c r="B100" s="6"/>
      <c r="C100" s="7"/>
      <c r="D100" s="7"/>
      <c r="E100" s="7"/>
      <c r="F100" s="8"/>
      <c r="G100" s="1"/>
      <c r="H100" s="7"/>
      <c r="I100" s="1"/>
      <c r="J100" s="9" t="str">
        <f t="shared" si="1"/>
        <v/>
      </c>
      <c r="K100" s="1"/>
      <c r="L100" s="1"/>
    </row>
    <row r="101" spans="1:12" ht="16.8" x14ac:dyDescent="0.4">
      <c r="A101" s="1"/>
      <c r="B101" s="6"/>
      <c r="C101" s="7"/>
      <c r="D101" s="7"/>
      <c r="E101" s="7"/>
      <c r="F101" s="8"/>
      <c r="G101" s="1"/>
      <c r="H101" s="7"/>
      <c r="I101" s="1"/>
      <c r="J101" s="9" t="str">
        <f t="shared" si="1"/>
        <v/>
      </c>
      <c r="K101" s="1"/>
      <c r="L101" s="1"/>
    </row>
    <row r="102" spans="1:12" ht="16.8" x14ac:dyDescent="0.4">
      <c r="A102" s="1"/>
      <c r="B102" s="6"/>
      <c r="C102" s="7"/>
      <c r="D102" s="7"/>
      <c r="E102" s="7"/>
      <c r="F102" s="8"/>
      <c r="G102" s="1"/>
      <c r="H102" s="7"/>
      <c r="I102" s="1"/>
      <c r="J102" s="9" t="str">
        <f t="shared" si="1"/>
        <v/>
      </c>
      <c r="K102" s="1"/>
      <c r="L102" s="1"/>
    </row>
    <row r="103" spans="1:12" ht="16.8" x14ac:dyDescent="0.4">
      <c r="A103" s="1"/>
      <c r="B103" s="6"/>
      <c r="C103" s="7"/>
      <c r="D103" s="7"/>
      <c r="E103" s="7"/>
      <c r="F103" s="8"/>
      <c r="G103" s="1"/>
      <c r="H103" s="7"/>
      <c r="I103" s="1"/>
      <c r="J103" s="9" t="str">
        <f t="shared" si="1"/>
        <v/>
      </c>
      <c r="K103" s="1"/>
      <c r="L103" s="1"/>
    </row>
    <row r="104" spans="1:12" ht="16.8" x14ac:dyDescent="0.4">
      <c r="A104" s="1"/>
      <c r="B104" s="6"/>
      <c r="C104" s="7"/>
      <c r="D104" s="7"/>
      <c r="E104" s="7"/>
      <c r="F104" s="8"/>
      <c r="G104" s="1"/>
      <c r="H104" s="7"/>
      <c r="I104" s="1"/>
      <c r="J104" s="9" t="str">
        <f t="shared" si="1"/>
        <v/>
      </c>
      <c r="K104" s="1"/>
      <c r="L104" s="1"/>
    </row>
    <row r="105" spans="1:12" ht="16.8" x14ac:dyDescent="0.4">
      <c r="A105" s="1"/>
      <c r="B105" s="6"/>
      <c r="C105" s="7"/>
      <c r="D105" s="7"/>
      <c r="E105" s="7"/>
      <c r="F105" s="8"/>
      <c r="G105" s="1"/>
      <c r="H105" s="7"/>
      <c r="I105" s="1"/>
      <c r="J105" s="9" t="str">
        <f t="shared" si="1"/>
        <v/>
      </c>
      <c r="K105" s="1"/>
      <c r="L105" s="1"/>
    </row>
    <row r="106" spans="1:12" ht="16.8" x14ac:dyDescent="0.4">
      <c r="A106" s="1"/>
      <c r="B106" s="6"/>
      <c r="C106" s="7"/>
      <c r="D106" s="7"/>
      <c r="E106" s="7"/>
      <c r="F106" s="8"/>
      <c r="G106" s="1"/>
      <c r="H106" s="7"/>
      <c r="I106" s="1"/>
      <c r="J106" s="9" t="str">
        <f t="shared" si="1"/>
        <v/>
      </c>
      <c r="K106" s="1"/>
      <c r="L106" s="1"/>
    </row>
    <row r="107" spans="1:12" ht="16.8" x14ac:dyDescent="0.4">
      <c r="A107" s="1"/>
      <c r="B107" s="6"/>
      <c r="C107" s="7"/>
      <c r="D107" s="7"/>
      <c r="E107" s="7"/>
      <c r="F107" s="8"/>
      <c r="G107" s="1"/>
      <c r="H107" s="7"/>
      <c r="I107" s="1"/>
      <c r="J107" s="9" t="str">
        <f t="shared" si="1"/>
        <v/>
      </c>
      <c r="K107" s="1"/>
      <c r="L107" s="1"/>
    </row>
    <row r="108" spans="1:12" ht="16.8" x14ac:dyDescent="0.4">
      <c r="A108" s="1"/>
      <c r="B108" s="6"/>
      <c r="C108" s="7"/>
      <c r="D108" s="7"/>
      <c r="E108" s="7"/>
      <c r="F108" s="8"/>
      <c r="G108" s="1"/>
      <c r="H108" s="7"/>
      <c r="I108" s="1"/>
      <c r="J108" s="9" t="str">
        <f t="shared" si="1"/>
        <v/>
      </c>
      <c r="K108" s="1"/>
      <c r="L108" s="1"/>
    </row>
    <row r="109" spans="1:12" ht="16.8" x14ac:dyDescent="0.4">
      <c r="A109" s="1"/>
      <c r="B109" s="6"/>
      <c r="C109" s="7"/>
      <c r="D109" s="7"/>
      <c r="E109" s="7"/>
      <c r="F109" s="8"/>
      <c r="G109" s="1"/>
      <c r="H109" s="7"/>
      <c r="I109" s="1"/>
      <c r="J109" s="9" t="str">
        <f t="shared" si="1"/>
        <v/>
      </c>
      <c r="K109" s="1"/>
      <c r="L109" s="1"/>
    </row>
    <row r="110" spans="1:12" ht="16.8" x14ac:dyDescent="0.4">
      <c r="A110" s="1"/>
      <c r="B110" s="6"/>
      <c r="C110" s="7"/>
      <c r="D110" s="7"/>
      <c r="E110" s="7"/>
      <c r="F110" s="8"/>
      <c r="G110" s="1"/>
      <c r="H110" s="7"/>
      <c r="I110" s="1"/>
      <c r="J110" s="9" t="str">
        <f t="shared" si="1"/>
        <v/>
      </c>
      <c r="K110" s="1"/>
      <c r="L110" s="1"/>
    </row>
    <row r="111" spans="1:12" ht="16.8" x14ac:dyDescent="0.4">
      <c r="A111" s="1"/>
      <c r="B111" s="6"/>
      <c r="C111" s="7"/>
      <c r="D111" s="7"/>
      <c r="E111" s="7"/>
      <c r="F111" s="8"/>
      <c r="G111" s="1"/>
      <c r="H111" s="7"/>
      <c r="I111" s="1"/>
      <c r="J111" s="9" t="str">
        <f t="shared" si="1"/>
        <v/>
      </c>
      <c r="K111" s="1"/>
      <c r="L111" s="1"/>
    </row>
    <row r="112" spans="1:12" ht="16.8" x14ac:dyDescent="0.4">
      <c r="A112" s="1"/>
      <c r="B112" s="6"/>
      <c r="C112" s="7"/>
      <c r="D112" s="7"/>
      <c r="E112" s="7"/>
      <c r="F112" s="8"/>
      <c r="G112" s="1"/>
      <c r="H112" s="7"/>
      <c r="I112" s="1"/>
      <c r="J112" s="9" t="str">
        <f t="shared" si="1"/>
        <v/>
      </c>
      <c r="K112" s="1"/>
      <c r="L112" s="1"/>
    </row>
    <row r="113" spans="1:12" ht="16.8" x14ac:dyDescent="0.4">
      <c r="A113" s="1"/>
      <c r="B113" s="6"/>
      <c r="C113" s="7"/>
      <c r="D113" s="7"/>
      <c r="E113" s="7"/>
      <c r="F113" s="8"/>
      <c r="G113" s="1"/>
      <c r="H113" s="7"/>
      <c r="I113" s="1"/>
      <c r="J113" s="9" t="str">
        <f t="shared" si="1"/>
        <v/>
      </c>
      <c r="K113" s="1"/>
      <c r="L113" s="1"/>
    </row>
    <row r="114" spans="1:12" ht="16.8" x14ac:dyDescent="0.4">
      <c r="A114" s="1"/>
      <c r="B114" s="6"/>
      <c r="C114" s="7"/>
      <c r="D114" s="7"/>
      <c r="E114" s="7"/>
      <c r="F114" s="8"/>
      <c r="G114" s="1"/>
      <c r="H114" s="7"/>
      <c r="I114" s="1"/>
      <c r="J114" s="9" t="str">
        <f t="shared" si="1"/>
        <v/>
      </c>
      <c r="K114" s="1"/>
      <c r="L114" s="1"/>
    </row>
    <row r="115" spans="1:12" ht="16.8" x14ac:dyDescent="0.4">
      <c r="A115" s="1"/>
      <c r="B115" s="6"/>
      <c r="C115" s="7"/>
      <c r="D115" s="7"/>
      <c r="E115" s="7"/>
      <c r="F115" s="8"/>
      <c r="G115" s="1"/>
      <c r="H115" s="7"/>
      <c r="I115" s="1"/>
      <c r="J115" s="9" t="str">
        <f t="shared" si="1"/>
        <v/>
      </c>
      <c r="K115" s="1"/>
      <c r="L115" s="1"/>
    </row>
    <row r="116" spans="1:12" ht="16.8" x14ac:dyDescent="0.4">
      <c r="A116" s="1"/>
      <c r="B116" s="6"/>
      <c r="C116" s="7"/>
      <c r="D116" s="7"/>
      <c r="E116" s="7"/>
      <c r="F116" s="8"/>
      <c r="G116" s="1"/>
      <c r="H116" s="7"/>
      <c r="I116" s="1"/>
      <c r="J116" s="9" t="str">
        <f t="shared" si="1"/>
        <v/>
      </c>
      <c r="K116" s="1"/>
      <c r="L116" s="1"/>
    </row>
    <row r="117" spans="1:12" ht="16.8" x14ac:dyDescent="0.4">
      <c r="A117" s="1"/>
      <c r="B117" s="6"/>
      <c r="C117" s="7"/>
      <c r="D117" s="7"/>
      <c r="E117" s="7"/>
      <c r="F117" s="8"/>
      <c r="G117" s="1"/>
      <c r="H117" s="7"/>
      <c r="I117" s="1"/>
      <c r="J117" s="9" t="str">
        <f t="shared" si="1"/>
        <v/>
      </c>
      <c r="K117" s="1"/>
      <c r="L117" s="1"/>
    </row>
    <row r="118" spans="1:12" ht="16.8" x14ac:dyDescent="0.4">
      <c r="A118" s="1"/>
      <c r="B118" s="6"/>
      <c r="C118" s="7"/>
      <c r="D118" s="7"/>
      <c r="E118" s="7"/>
      <c r="F118" s="8"/>
      <c r="G118" s="1"/>
      <c r="H118" s="7"/>
      <c r="I118" s="1"/>
      <c r="J118" s="9" t="str">
        <f t="shared" si="1"/>
        <v/>
      </c>
      <c r="K118" s="1"/>
      <c r="L118" s="1"/>
    </row>
    <row r="119" spans="1:12" ht="16.8" x14ac:dyDescent="0.4">
      <c r="A119" s="1"/>
      <c r="B119" s="6"/>
      <c r="C119" s="7"/>
      <c r="D119" s="7"/>
      <c r="E119" s="7"/>
      <c r="F119" s="8"/>
      <c r="G119" s="1"/>
      <c r="H119" s="7"/>
      <c r="I119" s="1"/>
      <c r="J119" s="9" t="str">
        <f t="shared" si="1"/>
        <v/>
      </c>
      <c r="K119" s="1"/>
      <c r="L119" s="1"/>
    </row>
    <row r="120" spans="1:12" ht="16.8" x14ac:dyDescent="0.4">
      <c r="A120" s="1"/>
      <c r="B120" s="6"/>
      <c r="C120" s="7"/>
      <c r="D120" s="7"/>
      <c r="E120" s="7"/>
      <c r="F120" s="8"/>
      <c r="G120" s="1"/>
      <c r="H120" s="7"/>
      <c r="I120" s="1"/>
      <c r="J120" s="9" t="str">
        <f t="shared" si="1"/>
        <v/>
      </c>
      <c r="K120" s="1"/>
      <c r="L120" s="1"/>
    </row>
    <row r="121" spans="1:12" ht="16.8" x14ac:dyDescent="0.4">
      <c r="A121" s="1"/>
      <c r="B121" s="6"/>
      <c r="C121" s="7"/>
      <c r="D121" s="7"/>
      <c r="E121" s="7"/>
      <c r="F121" s="8"/>
      <c r="G121" s="1"/>
      <c r="H121" s="7"/>
      <c r="I121" s="1"/>
      <c r="J121" s="9" t="str">
        <f t="shared" si="1"/>
        <v/>
      </c>
      <c r="K121" s="1"/>
      <c r="L121" s="1"/>
    </row>
    <row r="122" spans="1:12" ht="16.8" x14ac:dyDescent="0.4">
      <c r="A122" s="1"/>
      <c r="B122" s="6"/>
      <c r="C122" s="7"/>
      <c r="D122" s="7"/>
      <c r="E122" s="7"/>
      <c r="F122" s="8"/>
      <c r="G122" s="1"/>
      <c r="H122" s="7"/>
      <c r="I122" s="1"/>
      <c r="J122" s="9" t="str">
        <f t="shared" si="1"/>
        <v/>
      </c>
      <c r="K122" s="1"/>
      <c r="L122" s="1"/>
    </row>
    <row r="123" spans="1:12" ht="16.8" x14ac:dyDescent="0.4">
      <c r="A123" s="1"/>
      <c r="B123" s="6"/>
      <c r="C123" s="7"/>
      <c r="D123" s="7"/>
      <c r="E123" s="7"/>
      <c r="F123" s="8"/>
      <c r="G123" s="1"/>
      <c r="H123" s="7"/>
      <c r="I123" s="1"/>
      <c r="J123" s="9" t="str">
        <f t="shared" si="1"/>
        <v/>
      </c>
      <c r="K123" s="1"/>
      <c r="L123" s="1"/>
    </row>
    <row r="124" spans="1:12" ht="16.8" x14ac:dyDescent="0.4">
      <c r="A124" s="1"/>
      <c r="B124" s="6"/>
      <c r="C124" s="7"/>
      <c r="D124" s="7"/>
      <c r="E124" s="7"/>
      <c r="F124" s="8"/>
      <c r="G124" s="1"/>
      <c r="H124" s="7"/>
      <c r="I124" s="1"/>
      <c r="J124" s="9" t="str">
        <f t="shared" si="1"/>
        <v/>
      </c>
      <c r="K124" s="1"/>
      <c r="L124" s="1"/>
    </row>
    <row r="125" spans="1:12" ht="16.8" x14ac:dyDescent="0.4">
      <c r="A125" s="1"/>
      <c r="B125" s="6"/>
      <c r="C125" s="7"/>
      <c r="D125" s="7"/>
      <c r="E125" s="7"/>
      <c r="F125" s="8"/>
      <c r="G125" s="1"/>
      <c r="H125" s="7"/>
      <c r="I125" s="1"/>
      <c r="J125" s="9" t="str">
        <f t="shared" si="1"/>
        <v/>
      </c>
      <c r="K125" s="1"/>
      <c r="L125" s="1"/>
    </row>
    <row r="126" spans="1:12" ht="16.8" x14ac:dyDescent="0.4">
      <c r="A126" s="1"/>
      <c r="B126" s="6"/>
      <c r="C126" s="7"/>
      <c r="D126" s="7"/>
      <c r="E126" s="7"/>
      <c r="F126" s="8"/>
      <c r="G126" s="1"/>
      <c r="H126" s="7"/>
      <c r="I126" s="1"/>
      <c r="J126" s="9" t="str">
        <f t="shared" si="1"/>
        <v/>
      </c>
      <c r="K126" s="1"/>
      <c r="L126" s="1"/>
    </row>
    <row r="127" spans="1:12" ht="16.8" x14ac:dyDescent="0.4">
      <c r="A127" s="1"/>
      <c r="B127" s="6"/>
      <c r="C127" s="7"/>
      <c r="D127" s="7"/>
      <c r="E127" s="7"/>
      <c r="F127" s="8"/>
      <c r="G127" s="1"/>
      <c r="H127" s="7"/>
      <c r="I127" s="1"/>
      <c r="J127" s="9" t="str">
        <f t="shared" si="1"/>
        <v/>
      </c>
      <c r="K127" s="1"/>
      <c r="L127" s="1"/>
    </row>
    <row r="128" spans="1:12" ht="16.8" x14ac:dyDescent="0.4">
      <c r="A128" s="1"/>
      <c r="B128" s="6"/>
      <c r="C128" s="7"/>
      <c r="D128" s="7"/>
      <c r="E128" s="7"/>
      <c r="F128" s="8"/>
      <c r="G128" s="1"/>
      <c r="H128" s="7"/>
      <c r="I128" s="1"/>
      <c r="J128" s="9" t="str">
        <f t="shared" si="1"/>
        <v/>
      </c>
      <c r="K128" s="1"/>
      <c r="L128" s="1"/>
    </row>
    <row r="129" spans="1:12" ht="16.8" x14ac:dyDescent="0.4">
      <c r="A129" s="1"/>
      <c r="B129" s="6"/>
      <c r="C129" s="7"/>
      <c r="D129" s="7"/>
      <c r="E129" s="7"/>
      <c r="F129" s="8"/>
      <c r="G129" s="1"/>
      <c r="H129" s="7"/>
      <c r="I129" s="1"/>
      <c r="J129" s="9" t="str">
        <f t="shared" si="1"/>
        <v/>
      </c>
      <c r="K129" s="1"/>
      <c r="L129" s="1"/>
    </row>
    <row r="130" spans="1:12" ht="16.8" x14ac:dyDescent="0.4">
      <c r="A130" s="1"/>
      <c r="B130" s="6"/>
      <c r="C130" s="7"/>
      <c r="D130" s="7"/>
      <c r="E130" s="7"/>
      <c r="F130" s="8"/>
      <c r="G130" s="1"/>
      <c r="H130" s="7"/>
      <c r="I130" s="1"/>
      <c r="J130" s="9" t="str">
        <f t="shared" si="1"/>
        <v/>
      </c>
      <c r="K130" s="1"/>
      <c r="L130" s="1"/>
    </row>
    <row r="131" spans="1:12" ht="16.8" x14ac:dyDescent="0.4">
      <c r="A131" s="1"/>
      <c r="B131" s="6"/>
      <c r="C131" s="7"/>
      <c r="D131" s="7"/>
      <c r="E131" s="7"/>
      <c r="F131" s="8"/>
      <c r="G131" s="1"/>
      <c r="H131" s="7"/>
      <c r="I131" s="1"/>
      <c r="J131" s="9" t="str">
        <f t="shared" si="1"/>
        <v/>
      </c>
      <c r="K131" s="1"/>
      <c r="L131" s="1"/>
    </row>
    <row r="132" spans="1:12" ht="16.8" x14ac:dyDescent="0.4">
      <c r="A132" s="1"/>
      <c r="B132" s="6"/>
      <c r="C132" s="7"/>
      <c r="D132" s="7"/>
      <c r="E132" s="7"/>
      <c r="F132" s="8"/>
      <c r="G132" s="1"/>
      <c r="H132" s="7"/>
      <c r="I132" s="1"/>
      <c r="J132" s="9" t="str">
        <f t="shared" si="1"/>
        <v/>
      </c>
      <c r="K132" s="1"/>
      <c r="L132" s="1"/>
    </row>
    <row r="133" spans="1:12" ht="16.8" x14ac:dyDescent="0.4">
      <c r="A133" s="1"/>
      <c r="B133" s="6"/>
      <c r="C133" s="7"/>
      <c r="D133" s="7"/>
      <c r="E133" s="7"/>
      <c r="F133" s="8"/>
      <c r="G133" s="1"/>
      <c r="H133" s="7"/>
      <c r="I133" s="1"/>
      <c r="J133" s="9" t="str">
        <f t="shared" si="1"/>
        <v/>
      </c>
      <c r="K133" s="1"/>
      <c r="L133" s="1"/>
    </row>
    <row r="134" spans="1:12" ht="16.8" x14ac:dyDescent="0.4">
      <c r="A134" s="1"/>
      <c r="B134" s="6"/>
      <c r="C134" s="7"/>
      <c r="D134" s="7"/>
      <c r="E134" s="7"/>
      <c r="F134" s="8"/>
      <c r="G134" s="1"/>
      <c r="H134" s="7"/>
      <c r="I134" s="1"/>
      <c r="J134" s="9" t="str">
        <f t="shared" si="1"/>
        <v/>
      </c>
      <c r="K134" s="1"/>
      <c r="L134" s="1"/>
    </row>
    <row r="135" spans="1:12" ht="16.8" x14ac:dyDescent="0.4">
      <c r="A135" s="1"/>
      <c r="B135" s="6"/>
      <c r="C135" s="7"/>
      <c r="D135" s="7"/>
      <c r="E135" s="7"/>
      <c r="F135" s="8"/>
      <c r="G135" s="1"/>
      <c r="H135" s="7"/>
      <c r="I135" s="1"/>
      <c r="J135" s="9" t="str">
        <f t="shared" ref="J135:J198" si="2">IF($B135="","",TEXT($B135,"yyyy-mm"))</f>
        <v/>
      </c>
      <c r="K135" s="1"/>
      <c r="L135" s="1"/>
    </row>
    <row r="136" spans="1:12" ht="16.8" x14ac:dyDescent="0.4">
      <c r="A136" s="1"/>
      <c r="B136" s="6"/>
      <c r="C136" s="7"/>
      <c r="D136" s="7"/>
      <c r="E136" s="7"/>
      <c r="F136" s="8"/>
      <c r="G136" s="1"/>
      <c r="H136" s="7"/>
      <c r="I136" s="1"/>
      <c r="J136" s="9" t="str">
        <f t="shared" si="2"/>
        <v/>
      </c>
      <c r="K136" s="1"/>
      <c r="L136" s="1"/>
    </row>
    <row r="137" spans="1:12" ht="16.8" x14ac:dyDescent="0.4">
      <c r="A137" s="1"/>
      <c r="B137" s="6"/>
      <c r="C137" s="7"/>
      <c r="D137" s="7"/>
      <c r="E137" s="7"/>
      <c r="F137" s="8"/>
      <c r="G137" s="1"/>
      <c r="H137" s="7"/>
      <c r="I137" s="1"/>
      <c r="J137" s="9" t="str">
        <f t="shared" si="2"/>
        <v/>
      </c>
      <c r="K137" s="1"/>
      <c r="L137" s="1"/>
    </row>
    <row r="138" spans="1:12" ht="16.8" x14ac:dyDescent="0.4">
      <c r="A138" s="1"/>
      <c r="B138" s="6"/>
      <c r="C138" s="7"/>
      <c r="D138" s="7"/>
      <c r="E138" s="7"/>
      <c r="F138" s="8"/>
      <c r="G138" s="1"/>
      <c r="H138" s="7"/>
      <c r="I138" s="1"/>
      <c r="J138" s="9" t="str">
        <f t="shared" si="2"/>
        <v/>
      </c>
      <c r="K138" s="1"/>
      <c r="L138" s="1"/>
    </row>
    <row r="139" spans="1:12" ht="16.8" x14ac:dyDescent="0.4">
      <c r="A139" s="1"/>
      <c r="B139" s="6"/>
      <c r="C139" s="7"/>
      <c r="D139" s="7"/>
      <c r="E139" s="7"/>
      <c r="F139" s="8"/>
      <c r="G139" s="1"/>
      <c r="H139" s="7"/>
      <c r="I139" s="1"/>
      <c r="J139" s="9" t="str">
        <f t="shared" si="2"/>
        <v/>
      </c>
      <c r="K139" s="1"/>
      <c r="L139" s="1"/>
    </row>
    <row r="140" spans="1:12" ht="16.8" x14ac:dyDescent="0.4">
      <c r="A140" s="1"/>
      <c r="B140" s="6"/>
      <c r="C140" s="7"/>
      <c r="D140" s="7"/>
      <c r="E140" s="7"/>
      <c r="F140" s="8"/>
      <c r="G140" s="1"/>
      <c r="H140" s="7"/>
      <c r="I140" s="1"/>
      <c r="J140" s="9" t="str">
        <f t="shared" si="2"/>
        <v/>
      </c>
      <c r="K140" s="1"/>
      <c r="L140" s="1"/>
    </row>
    <row r="141" spans="1:12" ht="16.8" x14ac:dyDescent="0.4">
      <c r="A141" s="1"/>
      <c r="B141" s="6"/>
      <c r="C141" s="7"/>
      <c r="D141" s="7"/>
      <c r="E141" s="7"/>
      <c r="F141" s="8"/>
      <c r="G141" s="1"/>
      <c r="H141" s="7"/>
      <c r="I141" s="1"/>
      <c r="J141" s="9" t="str">
        <f t="shared" si="2"/>
        <v/>
      </c>
      <c r="K141" s="1"/>
      <c r="L141" s="1"/>
    </row>
    <row r="142" spans="1:12" ht="16.8" x14ac:dyDescent="0.4">
      <c r="A142" s="1"/>
      <c r="B142" s="6"/>
      <c r="C142" s="7"/>
      <c r="D142" s="7"/>
      <c r="E142" s="7"/>
      <c r="F142" s="8"/>
      <c r="G142" s="1"/>
      <c r="H142" s="7"/>
      <c r="I142" s="1"/>
      <c r="J142" s="9" t="str">
        <f t="shared" si="2"/>
        <v/>
      </c>
      <c r="K142" s="1"/>
      <c r="L142" s="1"/>
    </row>
    <row r="143" spans="1:12" ht="16.8" x14ac:dyDescent="0.4">
      <c r="A143" s="1"/>
      <c r="B143" s="6"/>
      <c r="C143" s="7"/>
      <c r="D143" s="7"/>
      <c r="E143" s="7"/>
      <c r="F143" s="8"/>
      <c r="G143" s="1"/>
      <c r="H143" s="7"/>
      <c r="I143" s="1"/>
      <c r="J143" s="9" t="str">
        <f t="shared" si="2"/>
        <v/>
      </c>
      <c r="K143" s="1"/>
      <c r="L143" s="1"/>
    </row>
    <row r="144" spans="1:12" ht="16.8" x14ac:dyDescent="0.4">
      <c r="A144" s="1"/>
      <c r="B144" s="6"/>
      <c r="C144" s="7"/>
      <c r="D144" s="7"/>
      <c r="E144" s="7"/>
      <c r="F144" s="8"/>
      <c r="G144" s="1"/>
      <c r="H144" s="7"/>
      <c r="I144" s="1"/>
      <c r="J144" s="9" t="str">
        <f t="shared" si="2"/>
        <v/>
      </c>
      <c r="K144" s="1"/>
      <c r="L144" s="1"/>
    </row>
    <row r="145" spans="1:12" ht="16.8" x14ac:dyDescent="0.4">
      <c r="A145" s="1"/>
      <c r="B145" s="6"/>
      <c r="C145" s="7"/>
      <c r="D145" s="7"/>
      <c r="E145" s="7"/>
      <c r="F145" s="8"/>
      <c r="G145" s="1"/>
      <c r="H145" s="7"/>
      <c r="I145" s="1"/>
      <c r="J145" s="9" t="str">
        <f t="shared" si="2"/>
        <v/>
      </c>
      <c r="K145" s="1"/>
      <c r="L145" s="1"/>
    </row>
    <row r="146" spans="1:12" ht="16.8" x14ac:dyDescent="0.4">
      <c r="A146" s="1"/>
      <c r="B146" s="6"/>
      <c r="C146" s="7"/>
      <c r="D146" s="7"/>
      <c r="E146" s="7"/>
      <c r="F146" s="8"/>
      <c r="G146" s="1"/>
      <c r="H146" s="7"/>
      <c r="I146" s="1"/>
      <c r="J146" s="9" t="str">
        <f t="shared" si="2"/>
        <v/>
      </c>
      <c r="K146" s="1"/>
      <c r="L146" s="1"/>
    </row>
    <row r="147" spans="1:12" ht="16.8" x14ac:dyDescent="0.4">
      <c r="A147" s="1"/>
      <c r="B147" s="6"/>
      <c r="C147" s="7"/>
      <c r="D147" s="7"/>
      <c r="E147" s="7"/>
      <c r="F147" s="8"/>
      <c r="G147" s="1"/>
      <c r="H147" s="7"/>
      <c r="I147" s="1"/>
      <c r="J147" s="9" t="str">
        <f t="shared" si="2"/>
        <v/>
      </c>
      <c r="K147" s="1"/>
      <c r="L147" s="1"/>
    </row>
    <row r="148" spans="1:12" ht="16.8" x14ac:dyDescent="0.4">
      <c r="A148" s="1"/>
      <c r="B148" s="6"/>
      <c r="C148" s="7"/>
      <c r="D148" s="7"/>
      <c r="E148" s="7"/>
      <c r="F148" s="8"/>
      <c r="G148" s="1"/>
      <c r="H148" s="7"/>
      <c r="I148" s="1"/>
      <c r="J148" s="9" t="str">
        <f t="shared" si="2"/>
        <v/>
      </c>
      <c r="K148" s="1"/>
      <c r="L148" s="1"/>
    </row>
    <row r="149" spans="1:12" ht="16.8" x14ac:dyDescent="0.4">
      <c r="A149" s="1"/>
      <c r="B149" s="6"/>
      <c r="C149" s="7"/>
      <c r="D149" s="7"/>
      <c r="E149" s="7"/>
      <c r="F149" s="8"/>
      <c r="G149" s="1"/>
      <c r="H149" s="7"/>
      <c r="I149" s="1"/>
      <c r="J149" s="9" t="str">
        <f t="shared" si="2"/>
        <v/>
      </c>
      <c r="K149" s="1"/>
      <c r="L149" s="1"/>
    </row>
    <row r="150" spans="1:12" ht="16.8" x14ac:dyDescent="0.4">
      <c r="A150" s="1"/>
      <c r="B150" s="6"/>
      <c r="C150" s="7"/>
      <c r="D150" s="7"/>
      <c r="E150" s="7"/>
      <c r="F150" s="8"/>
      <c r="G150" s="1"/>
      <c r="H150" s="7"/>
      <c r="I150" s="1"/>
      <c r="J150" s="9" t="str">
        <f t="shared" si="2"/>
        <v/>
      </c>
      <c r="K150" s="1"/>
      <c r="L150" s="1"/>
    </row>
    <row r="151" spans="1:12" ht="16.8" x14ac:dyDescent="0.4">
      <c r="A151" s="1"/>
      <c r="B151" s="6"/>
      <c r="C151" s="7"/>
      <c r="D151" s="7"/>
      <c r="E151" s="7"/>
      <c r="F151" s="8"/>
      <c r="G151" s="1"/>
      <c r="H151" s="7"/>
      <c r="I151" s="1"/>
      <c r="J151" s="9" t="str">
        <f t="shared" si="2"/>
        <v/>
      </c>
      <c r="K151" s="1"/>
      <c r="L151" s="1"/>
    </row>
    <row r="152" spans="1:12" ht="16.8" x14ac:dyDescent="0.4">
      <c r="A152" s="1"/>
      <c r="B152" s="6"/>
      <c r="C152" s="7"/>
      <c r="D152" s="7"/>
      <c r="E152" s="7"/>
      <c r="F152" s="8"/>
      <c r="G152" s="1"/>
      <c r="H152" s="7"/>
      <c r="I152" s="1"/>
      <c r="J152" s="9" t="str">
        <f t="shared" si="2"/>
        <v/>
      </c>
      <c r="K152" s="1"/>
      <c r="L152" s="1"/>
    </row>
    <row r="153" spans="1:12" ht="16.8" x14ac:dyDescent="0.4">
      <c r="A153" s="1"/>
      <c r="B153" s="6"/>
      <c r="C153" s="7"/>
      <c r="D153" s="7"/>
      <c r="E153" s="7"/>
      <c r="F153" s="8"/>
      <c r="G153" s="1"/>
      <c r="H153" s="7"/>
      <c r="I153" s="1"/>
      <c r="J153" s="9" t="str">
        <f t="shared" si="2"/>
        <v/>
      </c>
      <c r="K153" s="1"/>
      <c r="L153" s="1"/>
    </row>
    <row r="154" spans="1:12" ht="16.8" x14ac:dyDescent="0.4">
      <c r="A154" s="1"/>
      <c r="B154" s="6"/>
      <c r="C154" s="7"/>
      <c r="D154" s="7"/>
      <c r="E154" s="7"/>
      <c r="F154" s="8"/>
      <c r="G154" s="1"/>
      <c r="H154" s="7"/>
      <c r="I154" s="1"/>
      <c r="J154" s="9" t="str">
        <f t="shared" si="2"/>
        <v/>
      </c>
      <c r="K154" s="1"/>
      <c r="L154" s="1"/>
    </row>
    <row r="155" spans="1:12" ht="16.8" x14ac:dyDescent="0.4">
      <c r="A155" s="1"/>
      <c r="B155" s="6"/>
      <c r="C155" s="7"/>
      <c r="D155" s="7"/>
      <c r="E155" s="7"/>
      <c r="F155" s="8"/>
      <c r="G155" s="1"/>
      <c r="H155" s="7"/>
      <c r="I155" s="1"/>
      <c r="J155" s="9" t="str">
        <f t="shared" si="2"/>
        <v/>
      </c>
      <c r="K155" s="1"/>
      <c r="L155" s="1"/>
    </row>
    <row r="156" spans="1:12" ht="16.8" x14ac:dyDescent="0.4">
      <c r="A156" s="1"/>
      <c r="B156" s="6"/>
      <c r="C156" s="7"/>
      <c r="D156" s="7"/>
      <c r="E156" s="7"/>
      <c r="F156" s="8"/>
      <c r="G156" s="1"/>
      <c r="H156" s="7"/>
      <c r="I156" s="1"/>
      <c r="J156" s="9" t="str">
        <f t="shared" si="2"/>
        <v/>
      </c>
      <c r="K156" s="1"/>
      <c r="L156" s="1"/>
    </row>
    <row r="157" spans="1:12" ht="16.8" x14ac:dyDescent="0.4">
      <c r="A157" s="1"/>
      <c r="B157" s="6"/>
      <c r="C157" s="7"/>
      <c r="D157" s="7"/>
      <c r="E157" s="7"/>
      <c r="F157" s="8"/>
      <c r="G157" s="1"/>
      <c r="H157" s="7"/>
      <c r="I157" s="1"/>
      <c r="J157" s="9" t="str">
        <f t="shared" si="2"/>
        <v/>
      </c>
      <c r="K157" s="1"/>
      <c r="L157" s="1"/>
    </row>
    <row r="158" spans="1:12" ht="16.8" x14ac:dyDescent="0.4">
      <c r="A158" s="1"/>
      <c r="B158" s="6"/>
      <c r="C158" s="7"/>
      <c r="D158" s="7"/>
      <c r="E158" s="7"/>
      <c r="F158" s="8"/>
      <c r="G158" s="1"/>
      <c r="H158" s="7"/>
      <c r="I158" s="1"/>
      <c r="J158" s="9" t="str">
        <f t="shared" si="2"/>
        <v/>
      </c>
      <c r="K158" s="1"/>
      <c r="L158" s="1"/>
    </row>
    <row r="159" spans="1:12" ht="16.8" x14ac:dyDescent="0.4">
      <c r="A159" s="1"/>
      <c r="B159" s="6"/>
      <c r="C159" s="7"/>
      <c r="D159" s="7"/>
      <c r="E159" s="7"/>
      <c r="F159" s="8"/>
      <c r="G159" s="1"/>
      <c r="H159" s="7"/>
      <c r="I159" s="1"/>
      <c r="J159" s="9" t="str">
        <f t="shared" si="2"/>
        <v/>
      </c>
      <c r="K159" s="1"/>
      <c r="L159" s="1"/>
    </row>
    <row r="160" spans="1:12" ht="16.8" x14ac:dyDescent="0.4">
      <c r="A160" s="1"/>
      <c r="B160" s="6"/>
      <c r="C160" s="7"/>
      <c r="D160" s="7"/>
      <c r="E160" s="7"/>
      <c r="F160" s="8"/>
      <c r="G160" s="1"/>
      <c r="H160" s="7"/>
      <c r="I160" s="1"/>
      <c r="J160" s="9" t="str">
        <f t="shared" si="2"/>
        <v/>
      </c>
      <c r="K160" s="1"/>
      <c r="L160" s="1"/>
    </row>
    <row r="161" spans="1:12" ht="16.8" x14ac:dyDescent="0.4">
      <c r="A161" s="1"/>
      <c r="B161" s="6"/>
      <c r="C161" s="7"/>
      <c r="D161" s="7"/>
      <c r="E161" s="7"/>
      <c r="F161" s="8"/>
      <c r="G161" s="1"/>
      <c r="H161" s="7"/>
      <c r="I161" s="1"/>
      <c r="J161" s="9" t="str">
        <f t="shared" si="2"/>
        <v/>
      </c>
      <c r="K161" s="1"/>
      <c r="L161" s="1"/>
    </row>
    <row r="162" spans="1:12" ht="16.8" x14ac:dyDescent="0.4">
      <c r="A162" s="1"/>
      <c r="B162" s="6"/>
      <c r="C162" s="7"/>
      <c r="D162" s="7"/>
      <c r="E162" s="7"/>
      <c r="F162" s="8"/>
      <c r="G162" s="1"/>
      <c r="H162" s="7"/>
      <c r="I162" s="1"/>
      <c r="J162" s="9" t="str">
        <f t="shared" si="2"/>
        <v/>
      </c>
      <c r="K162" s="1"/>
      <c r="L162" s="1"/>
    </row>
    <row r="163" spans="1:12" ht="16.8" x14ac:dyDescent="0.4">
      <c r="A163" s="1"/>
      <c r="B163" s="6"/>
      <c r="C163" s="7"/>
      <c r="D163" s="7"/>
      <c r="E163" s="7"/>
      <c r="F163" s="8"/>
      <c r="G163" s="1"/>
      <c r="H163" s="7"/>
      <c r="I163" s="1"/>
      <c r="J163" s="9" t="str">
        <f t="shared" si="2"/>
        <v/>
      </c>
      <c r="K163" s="1"/>
      <c r="L163" s="1"/>
    </row>
    <row r="164" spans="1:12" ht="16.8" x14ac:dyDescent="0.4">
      <c r="A164" s="1"/>
      <c r="B164" s="6"/>
      <c r="C164" s="7"/>
      <c r="D164" s="7"/>
      <c r="E164" s="7"/>
      <c r="F164" s="8"/>
      <c r="G164" s="1"/>
      <c r="H164" s="7"/>
      <c r="I164" s="1"/>
      <c r="J164" s="9" t="str">
        <f t="shared" si="2"/>
        <v/>
      </c>
      <c r="K164" s="1"/>
      <c r="L164" s="1"/>
    </row>
    <row r="165" spans="1:12" ht="16.8" x14ac:dyDescent="0.4">
      <c r="A165" s="1"/>
      <c r="B165" s="6"/>
      <c r="C165" s="7"/>
      <c r="D165" s="7"/>
      <c r="E165" s="7"/>
      <c r="F165" s="8"/>
      <c r="G165" s="1"/>
      <c r="H165" s="7"/>
      <c r="I165" s="1"/>
      <c r="J165" s="9" t="str">
        <f t="shared" si="2"/>
        <v/>
      </c>
      <c r="K165" s="1"/>
      <c r="L165" s="1"/>
    </row>
    <row r="166" spans="1:12" ht="16.8" x14ac:dyDescent="0.4">
      <c r="A166" s="1"/>
      <c r="B166" s="6"/>
      <c r="C166" s="7"/>
      <c r="D166" s="7"/>
      <c r="E166" s="7"/>
      <c r="F166" s="8"/>
      <c r="G166" s="1"/>
      <c r="H166" s="7"/>
      <c r="I166" s="1"/>
      <c r="J166" s="9" t="str">
        <f t="shared" si="2"/>
        <v/>
      </c>
      <c r="K166" s="1"/>
      <c r="L166" s="1"/>
    </row>
    <row r="167" spans="1:12" ht="16.8" x14ac:dyDescent="0.4">
      <c r="A167" s="1"/>
      <c r="B167" s="6"/>
      <c r="C167" s="7"/>
      <c r="D167" s="7"/>
      <c r="E167" s="7"/>
      <c r="F167" s="8"/>
      <c r="G167" s="1"/>
      <c r="H167" s="7"/>
      <c r="I167" s="1"/>
      <c r="J167" s="9" t="str">
        <f t="shared" si="2"/>
        <v/>
      </c>
      <c r="K167" s="1"/>
      <c r="L167" s="1"/>
    </row>
    <row r="168" spans="1:12" ht="16.8" x14ac:dyDescent="0.4">
      <c r="A168" s="1"/>
      <c r="B168" s="6"/>
      <c r="C168" s="7"/>
      <c r="D168" s="7"/>
      <c r="E168" s="7"/>
      <c r="F168" s="8"/>
      <c r="G168" s="1"/>
      <c r="H168" s="7"/>
      <c r="I168" s="1"/>
      <c r="J168" s="9" t="str">
        <f t="shared" si="2"/>
        <v/>
      </c>
      <c r="K168" s="1"/>
      <c r="L168" s="1"/>
    </row>
    <row r="169" spans="1:12" ht="16.8" x14ac:dyDescent="0.4">
      <c r="A169" s="1"/>
      <c r="B169" s="6"/>
      <c r="C169" s="7"/>
      <c r="D169" s="7"/>
      <c r="E169" s="7"/>
      <c r="F169" s="8"/>
      <c r="G169" s="1"/>
      <c r="H169" s="7"/>
      <c r="I169" s="1"/>
      <c r="J169" s="9" t="str">
        <f t="shared" si="2"/>
        <v/>
      </c>
      <c r="K169" s="1"/>
      <c r="L169" s="1"/>
    </row>
    <row r="170" spans="1:12" ht="16.8" x14ac:dyDescent="0.4">
      <c r="A170" s="1"/>
      <c r="B170" s="6"/>
      <c r="C170" s="7"/>
      <c r="D170" s="7"/>
      <c r="E170" s="7"/>
      <c r="F170" s="8"/>
      <c r="G170" s="1"/>
      <c r="H170" s="7"/>
      <c r="I170" s="1"/>
      <c r="J170" s="9" t="str">
        <f t="shared" si="2"/>
        <v/>
      </c>
      <c r="K170" s="1"/>
      <c r="L170" s="1"/>
    </row>
    <row r="171" spans="1:12" ht="16.8" x14ac:dyDescent="0.4">
      <c r="A171" s="1"/>
      <c r="B171" s="6"/>
      <c r="C171" s="7"/>
      <c r="D171" s="7"/>
      <c r="E171" s="7"/>
      <c r="F171" s="8"/>
      <c r="G171" s="1"/>
      <c r="H171" s="7"/>
      <c r="I171" s="1"/>
      <c r="J171" s="9" t="str">
        <f t="shared" si="2"/>
        <v/>
      </c>
      <c r="K171" s="1"/>
      <c r="L171" s="1"/>
    </row>
    <row r="172" spans="1:12" ht="16.8" x14ac:dyDescent="0.4">
      <c r="A172" s="1"/>
      <c r="B172" s="6"/>
      <c r="C172" s="7"/>
      <c r="D172" s="7"/>
      <c r="E172" s="7"/>
      <c r="F172" s="8"/>
      <c r="G172" s="1"/>
      <c r="H172" s="7"/>
      <c r="I172" s="1"/>
      <c r="J172" s="9" t="str">
        <f t="shared" si="2"/>
        <v/>
      </c>
      <c r="K172" s="1"/>
      <c r="L172" s="1"/>
    </row>
    <row r="173" spans="1:12" ht="16.8" x14ac:dyDescent="0.4">
      <c r="A173" s="1"/>
      <c r="B173" s="6"/>
      <c r="C173" s="7"/>
      <c r="D173" s="7"/>
      <c r="E173" s="7"/>
      <c r="F173" s="8"/>
      <c r="G173" s="1"/>
      <c r="H173" s="7"/>
      <c r="I173" s="1"/>
      <c r="J173" s="9" t="str">
        <f t="shared" si="2"/>
        <v/>
      </c>
      <c r="K173" s="1"/>
      <c r="L173" s="1"/>
    </row>
    <row r="174" spans="1:12" ht="16.8" x14ac:dyDescent="0.4">
      <c r="A174" s="1"/>
      <c r="B174" s="6"/>
      <c r="C174" s="7"/>
      <c r="D174" s="7"/>
      <c r="E174" s="7"/>
      <c r="F174" s="8"/>
      <c r="G174" s="1"/>
      <c r="H174" s="7"/>
      <c r="I174" s="1"/>
      <c r="J174" s="9" t="str">
        <f t="shared" si="2"/>
        <v/>
      </c>
      <c r="K174" s="1"/>
      <c r="L174" s="1"/>
    </row>
    <row r="175" spans="1:12" ht="16.8" x14ac:dyDescent="0.4">
      <c r="A175" s="1"/>
      <c r="B175" s="6"/>
      <c r="C175" s="7"/>
      <c r="D175" s="7"/>
      <c r="E175" s="7"/>
      <c r="F175" s="8"/>
      <c r="G175" s="1"/>
      <c r="H175" s="7"/>
      <c r="I175" s="1"/>
      <c r="J175" s="9" t="str">
        <f t="shared" si="2"/>
        <v/>
      </c>
      <c r="K175" s="1"/>
      <c r="L175" s="1"/>
    </row>
    <row r="176" spans="1:12" ht="16.8" x14ac:dyDescent="0.4">
      <c r="A176" s="1"/>
      <c r="B176" s="6"/>
      <c r="C176" s="7"/>
      <c r="D176" s="7"/>
      <c r="E176" s="7"/>
      <c r="F176" s="8"/>
      <c r="G176" s="1"/>
      <c r="H176" s="7"/>
      <c r="I176" s="1"/>
      <c r="J176" s="9" t="str">
        <f t="shared" si="2"/>
        <v/>
      </c>
      <c r="K176" s="1"/>
      <c r="L176" s="1"/>
    </row>
    <row r="177" spans="1:12" ht="16.8" x14ac:dyDescent="0.4">
      <c r="A177" s="1"/>
      <c r="B177" s="6"/>
      <c r="C177" s="7"/>
      <c r="D177" s="7"/>
      <c r="E177" s="7"/>
      <c r="F177" s="8"/>
      <c r="G177" s="1"/>
      <c r="H177" s="7"/>
      <c r="I177" s="1"/>
      <c r="J177" s="9" t="str">
        <f t="shared" si="2"/>
        <v/>
      </c>
      <c r="K177" s="1"/>
      <c r="L177" s="1"/>
    </row>
    <row r="178" spans="1:12" ht="16.8" x14ac:dyDescent="0.4">
      <c r="A178" s="1"/>
      <c r="B178" s="6"/>
      <c r="C178" s="7"/>
      <c r="D178" s="7"/>
      <c r="E178" s="7"/>
      <c r="F178" s="8"/>
      <c r="G178" s="1"/>
      <c r="H178" s="7"/>
      <c r="I178" s="1"/>
      <c r="J178" s="9" t="str">
        <f t="shared" si="2"/>
        <v/>
      </c>
      <c r="K178" s="1"/>
      <c r="L178" s="1"/>
    </row>
    <row r="179" spans="1:12" ht="16.8" x14ac:dyDescent="0.4">
      <c r="A179" s="1"/>
      <c r="B179" s="6"/>
      <c r="C179" s="7"/>
      <c r="D179" s="7"/>
      <c r="E179" s="7"/>
      <c r="F179" s="8"/>
      <c r="G179" s="1"/>
      <c r="H179" s="7"/>
      <c r="I179" s="1"/>
      <c r="J179" s="9" t="str">
        <f t="shared" si="2"/>
        <v/>
      </c>
      <c r="K179" s="1"/>
      <c r="L179" s="1"/>
    </row>
    <row r="180" spans="1:12" ht="16.8" x14ac:dyDescent="0.4">
      <c r="A180" s="1"/>
      <c r="B180" s="6"/>
      <c r="C180" s="7"/>
      <c r="D180" s="7"/>
      <c r="E180" s="7"/>
      <c r="F180" s="8"/>
      <c r="G180" s="1"/>
      <c r="H180" s="7"/>
      <c r="I180" s="1"/>
      <c r="J180" s="9" t="str">
        <f t="shared" si="2"/>
        <v/>
      </c>
      <c r="K180" s="1"/>
      <c r="L180" s="1"/>
    </row>
    <row r="181" spans="1:12" ht="16.8" x14ac:dyDescent="0.4">
      <c r="A181" s="1"/>
      <c r="B181" s="6"/>
      <c r="C181" s="7"/>
      <c r="D181" s="7"/>
      <c r="E181" s="7"/>
      <c r="F181" s="8"/>
      <c r="G181" s="1"/>
      <c r="H181" s="7"/>
      <c r="I181" s="1"/>
      <c r="J181" s="9" t="str">
        <f t="shared" si="2"/>
        <v/>
      </c>
      <c r="K181" s="1"/>
      <c r="L181" s="1"/>
    </row>
    <row r="182" spans="1:12" ht="16.8" x14ac:dyDescent="0.4">
      <c r="A182" s="1"/>
      <c r="B182" s="6"/>
      <c r="C182" s="7"/>
      <c r="D182" s="7"/>
      <c r="E182" s="7"/>
      <c r="F182" s="8"/>
      <c r="G182" s="1"/>
      <c r="H182" s="7"/>
      <c r="I182" s="1"/>
      <c r="J182" s="9" t="str">
        <f t="shared" si="2"/>
        <v/>
      </c>
      <c r="K182" s="1"/>
      <c r="L182" s="1"/>
    </row>
    <row r="183" spans="1:12" ht="16.8" x14ac:dyDescent="0.4">
      <c r="A183" s="1"/>
      <c r="B183" s="6"/>
      <c r="C183" s="7"/>
      <c r="D183" s="7"/>
      <c r="E183" s="7"/>
      <c r="F183" s="8"/>
      <c r="G183" s="1"/>
      <c r="H183" s="7"/>
      <c r="I183" s="1"/>
      <c r="J183" s="9" t="str">
        <f t="shared" si="2"/>
        <v/>
      </c>
      <c r="K183" s="1"/>
      <c r="L183" s="1"/>
    </row>
    <row r="184" spans="1:12" ht="16.8" x14ac:dyDescent="0.4">
      <c r="A184" s="1"/>
      <c r="B184" s="6"/>
      <c r="C184" s="7"/>
      <c r="D184" s="7"/>
      <c r="E184" s="7"/>
      <c r="F184" s="8"/>
      <c r="G184" s="1"/>
      <c r="H184" s="7"/>
      <c r="I184" s="1"/>
      <c r="J184" s="9" t="str">
        <f t="shared" si="2"/>
        <v/>
      </c>
      <c r="K184" s="1"/>
      <c r="L184" s="1"/>
    </row>
    <row r="185" spans="1:12" ht="16.8" x14ac:dyDescent="0.4">
      <c r="A185" s="1"/>
      <c r="B185" s="6"/>
      <c r="C185" s="7"/>
      <c r="D185" s="7"/>
      <c r="E185" s="7"/>
      <c r="F185" s="8"/>
      <c r="G185" s="1"/>
      <c r="H185" s="7"/>
      <c r="I185" s="1"/>
      <c r="J185" s="9" t="str">
        <f t="shared" si="2"/>
        <v/>
      </c>
      <c r="K185" s="1"/>
      <c r="L185" s="1"/>
    </row>
    <row r="186" spans="1:12" ht="16.8" x14ac:dyDescent="0.4">
      <c r="A186" s="1"/>
      <c r="B186" s="6"/>
      <c r="C186" s="7"/>
      <c r="D186" s="7"/>
      <c r="E186" s="7"/>
      <c r="F186" s="8"/>
      <c r="G186" s="1"/>
      <c r="H186" s="7"/>
      <c r="I186" s="1"/>
      <c r="J186" s="9" t="str">
        <f t="shared" si="2"/>
        <v/>
      </c>
      <c r="K186" s="1"/>
      <c r="L186" s="1"/>
    </row>
    <row r="187" spans="1:12" ht="16.8" x14ac:dyDescent="0.4">
      <c r="A187" s="1"/>
      <c r="B187" s="6"/>
      <c r="C187" s="7"/>
      <c r="D187" s="7"/>
      <c r="E187" s="7"/>
      <c r="F187" s="8"/>
      <c r="G187" s="1"/>
      <c r="H187" s="7"/>
      <c r="I187" s="1"/>
      <c r="J187" s="9" t="str">
        <f t="shared" si="2"/>
        <v/>
      </c>
      <c r="K187" s="1"/>
      <c r="L187" s="1"/>
    </row>
    <row r="188" spans="1:12" ht="16.8" x14ac:dyDescent="0.4">
      <c r="A188" s="1"/>
      <c r="B188" s="6"/>
      <c r="C188" s="7"/>
      <c r="D188" s="7"/>
      <c r="E188" s="7"/>
      <c r="F188" s="8"/>
      <c r="G188" s="1"/>
      <c r="H188" s="7"/>
      <c r="I188" s="1"/>
      <c r="J188" s="9" t="str">
        <f t="shared" si="2"/>
        <v/>
      </c>
      <c r="K188" s="1"/>
      <c r="L188" s="1"/>
    </row>
    <row r="189" spans="1:12" ht="16.8" x14ac:dyDescent="0.4">
      <c r="A189" s="1"/>
      <c r="B189" s="6"/>
      <c r="C189" s="7"/>
      <c r="D189" s="7"/>
      <c r="E189" s="7"/>
      <c r="F189" s="8"/>
      <c r="G189" s="1"/>
      <c r="H189" s="7"/>
      <c r="I189" s="1"/>
      <c r="J189" s="9" t="str">
        <f t="shared" si="2"/>
        <v/>
      </c>
      <c r="K189" s="1"/>
      <c r="L189" s="1"/>
    </row>
    <row r="190" spans="1:12" ht="16.8" x14ac:dyDescent="0.4">
      <c r="A190" s="1"/>
      <c r="B190" s="6"/>
      <c r="C190" s="7"/>
      <c r="D190" s="7"/>
      <c r="E190" s="7"/>
      <c r="F190" s="8"/>
      <c r="G190" s="1"/>
      <c r="H190" s="7"/>
      <c r="I190" s="1"/>
      <c r="J190" s="9" t="str">
        <f t="shared" si="2"/>
        <v/>
      </c>
      <c r="K190" s="1"/>
      <c r="L190" s="1"/>
    </row>
    <row r="191" spans="1:12" ht="16.8" x14ac:dyDescent="0.4">
      <c r="A191" s="1"/>
      <c r="B191" s="6"/>
      <c r="C191" s="7"/>
      <c r="D191" s="7"/>
      <c r="E191" s="7"/>
      <c r="F191" s="8"/>
      <c r="G191" s="1"/>
      <c r="H191" s="7"/>
      <c r="I191" s="1"/>
      <c r="J191" s="9" t="str">
        <f t="shared" si="2"/>
        <v/>
      </c>
      <c r="K191" s="1"/>
      <c r="L191" s="1"/>
    </row>
    <row r="192" spans="1:12" ht="16.8" x14ac:dyDescent="0.4">
      <c r="A192" s="1"/>
      <c r="B192" s="6"/>
      <c r="C192" s="7"/>
      <c r="D192" s="7"/>
      <c r="E192" s="7"/>
      <c r="F192" s="8"/>
      <c r="G192" s="1"/>
      <c r="H192" s="7"/>
      <c r="I192" s="1"/>
      <c r="J192" s="9" t="str">
        <f t="shared" si="2"/>
        <v/>
      </c>
      <c r="K192" s="1"/>
      <c r="L192" s="1"/>
    </row>
    <row r="193" spans="1:12" ht="16.8" x14ac:dyDescent="0.4">
      <c r="A193" s="1"/>
      <c r="B193" s="6"/>
      <c r="C193" s="7"/>
      <c r="D193" s="7"/>
      <c r="E193" s="7"/>
      <c r="F193" s="8"/>
      <c r="G193" s="1"/>
      <c r="H193" s="7"/>
      <c r="I193" s="1"/>
      <c r="J193" s="9" t="str">
        <f t="shared" si="2"/>
        <v/>
      </c>
      <c r="K193" s="1"/>
      <c r="L193" s="1"/>
    </row>
    <row r="194" spans="1:12" ht="16.8" x14ac:dyDescent="0.4">
      <c r="A194" s="1"/>
      <c r="B194" s="6"/>
      <c r="C194" s="7"/>
      <c r="D194" s="7"/>
      <c r="E194" s="7"/>
      <c r="F194" s="8"/>
      <c r="G194" s="1"/>
      <c r="H194" s="7"/>
      <c r="I194" s="1"/>
      <c r="J194" s="9" t="str">
        <f t="shared" si="2"/>
        <v/>
      </c>
      <c r="K194" s="1"/>
      <c r="L194" s="1"/>
    </row>
    <row r="195" spans="1:12" ht="16.8" x14ac:dyDescent="0.4">
      <c r="A195" s="1"/>
      <c r="B195" s="6"/>
      <c r="C195" s="7"/>
      <c r="D195" s="7"/>
      <c r="E195" s="7"/>
      <c r="F195" s="8"/>
      <c r="G195" s="1"/>
      <c r="H195" s="7"/>
      <c r="I195" s="1"/>
      <c r="J195" s="9" t="str">
        <f t="shared" si="2"/>
        <v/>
      </c>
      <c r="K195" s="1"/>
      <c r="L195" s="1"/>
    </row>
    <row r="196" spans="1:12" ht="16.8" x14ac:dyDescent="0.4">
      <c r="A196" s="1"/>
      <c r="B196" s="6"/>
      <c r="C196" s="7"/>
      <c r="D196" s="7"/>
      <c r="E196" s="7"/>
      <c r="F196" s="8"/>
      <c r="G196" s="1"/>
      <c r="H196" s="7"/>
      <c r="I196" s="1"/>
      <c r="J196" s="9" t="str">
        <f t="shared" si="2"/>
        <v/>
      </c>
      <c r="K196" s="1"/>
      <c r="L196" s="1"/>
    </row>
    <row r="197" spans="1:12" ht="16.8" x14ac:dyDescent="0.4">
      <c r="A197" s="1"/>
      <c r="B197" s="6"/>
      <c r="C197" s="7"/>
      <c r="D197" s="7"/>
      <c r="E197" s="7"/>
      <c r="F197" s="8"/>
      <c r="G197" s="1"/>
      <c r="H197" s="7"/>
      <c r="I197" s="1"/>
      <c r="J197" s="9" t="str">
        <f t="shared" si="2"/>
        <v/>
      </c>
      <c r="K197" s="1"/>
      <c r="L197" s="1"/>
    </row>
    <row r="198" spans="1:12" ht="16.8" x14ac:dyDescent="0.4">
      <c r="A198" s="1"/>
      <c r="B198" s="6"/>
      <c r="C198" s="7"/>
      <c r="D198" s="7"/>
      <c r="E198" s="7"/>
      <c r="F198" s="8"/>
      <c r="G198" s="1"/>
      <c r="H198" s="7"/>
      <c r="I198" s="1"/>
      <c r="J198" s="9" t="str">
        <f t="shared" si="2"/>
        <v/>
      </c>
      <c r="K198" s="1"/>
      <c r="L198" s="1"/>
    </row>
    <row r="199" spans="1:12" ht="16.8" x14ac:dyDescent="0.4">
      <c r="A199" s="1"/>
      <c r="B199" s="6"/>
      <c r="C199" s="7"/>
      <c r="D199" s="7"/>
      <c r="E199" s="7"/>
      <c r="F199" s="8"/>
      <c r="G199" s="1"/>
      <c r="H199" s="7"/>
      <c r="I199" s="1"/>
      <c r="J199" s="9" t="str">
        <f t="shared" ref="J199:J262" si="3">IF($B199="","",TEXT($B199,"yyyy-mm"))</f>
        <v/>
      </c>
      <c r="K199" s="1"/>
      <c r="L199" s="1"/>
    </row>
    <row r="200" spans="1:12" ht="16.8" x14ac:dyDescent="0.4">
      <c r="A200" s="1"/>
      <c r="B200" s="6"/>
      <c r="C200" s="7"/>
      <c r="D200" s="7"/>
      <c r="E200" s="7"/>
      <c r="F200" s="8"/>
      <c r="G200" s="1"/>
      <c r="H200" s="7"/>
      <c r="I200" s="1"/>
      <c r="J200" s="9" t="str">
        <f t="shared" si="3"/>
        <v/>
      </c>
      <c r="K200" s="1"/>
      <c r="L200" s="1"/>
    </row>
    <row r="201" spans="1:12" ht="16.8" x14ac:dyDescent="0.4">
      <c r="A201" s="1"/>
      <c r="B201" s="6"/>
      <c r="C201" s="7"/>
      <c r="D201" s="7"/>
      <c r="E201" s="7"/>
      <c r="F201" s="8"/>
      <c r="G201" s="1"/>
      <c r="H201" s="7"/>
      <c r="I201" s="1"/>
      <c r="J201" s="9" t="str">
        <f t="shared" si="3"/>
        <v/>
      </c>
      <c r="K201" s="1"/>
      <c r="L201" s="1"/>
    </row>
    <row r="202" spans="1:12" ht="16.8" x14ac:dyDescent="0.4">
      <c r="A202" s="1"/>
      <c r="B202" s="6"/>
      <c r="C202" s="7"/>
      <c r="D202" s="7"/>
      <c r="E202" s="7"/>
      <c r="F202" s="8"/>
      <c r="G202" s="1"/>
      <c r="H202" s="7"/>
      <c r="I202" s="1"/>
      <c r="J202" s="9" t="str">
        <f t="shared" si="3"/>
        <v/>
      </c>
      <c r="K202" s="1"/>
      <c r="L202" s="1"/>
    </row>
    <row r="203" spans="1:12" ht="16.8" x14ac:dyDescent="0.4">
      <c r="A203" s="1"/>
      <c r="B203" s="6"/>
      <c r="C203" s="7"/>
      <c r="D203" s="7"/>
      <c r="E203" s="7"/>
      <c r="F203" s="8"/>
      <c r="G203" s="1"/>
      <c r="H203" s="7"/>
      <c r="I203" s="1"/>
      <c r="J203" s="9" t="str">
        <f t="shared" si="3"/>
        <v/>
      </c>
      <c r="K203" s="1"/>
      <c r="L203" s="1"/>
    </row>
    <row r="204" spans="1:12" ht="16.8" x14ac:dyDescent="0.4">
      <c r="A204" s="1"/>
      <c r="B204" s="6"/>
      <c r="C204" s="7"/>
      <c r="D204" s="7"/>
      <c r="E204" s="7"/>
      <c r="F204" s="8"/>
      <c r="G204" s="1"/>
      <c r="H204" s="7"/>
      <c r="I204" s="1"/>
      <c r="J204" s="9" t="str">
        <f t="shared" si="3"/>
        <v/>
      </c>
      <c r="K204" s="1"/>
      <c r="L204" s="1"/>
    </row>
    <row r="205" spans="1:12" ht="16.8" x14ac:dyDescent="0.4">
      <c r="A205" s="1"/>
      <c r="B205" s="6"/>
      <c r="C205" s="7"/>
      <c r="D205" s="7"/>
      <c r="E205" s="7"/>
      <c r="F205" s="8"/>
      <c r="G205" s="1"/>
      <c r="H205" s="7"/>
      <c r="I205" s="1"/>
      <c r="J205" s="9" t="str">
        <f t="shared" si="3"/>
        <v/>
      </c>
      <c r="K205" s="1"/>
      <c r="L205" s="1"/>
    </row>
    <row r="206" spans="1:12" ht="16.8" x14ac:dyDescent="0.4">
      <c r="A206" s="1"/>
      <c r="B206" s="6"/>
      <c r="C206" s="7"/>
      <c r="D206" s="7"/>
      <c r="E206" s="7"/>
      <c r="F206" s="8"/>
      <c r="G206" s="1"/>
      <c r="H206" s="7"/>
      <c r="I206" s="1"/>
      <c r="J206" s="9" t="str">
        <f t="shared" si="3"/>
        <v/>
      </c>
      <c r="K206" s="1"/>
      <c r="L206" s="1"/>
    </row>
    <row r="207" spans="1:12" ht="16.8" x14ac:dyDescent="0.4">
      <c r="A207" s="1"/>
      <c r="B207" s="6"/>
      <c r="C207" s="7"/>
      <c r="D207" s="7"/>
      <c r="E207" s="7"/>
      <c r="F207" s="8"/>
      <c r="G207" s="1"/>
      <c r="H207" s="7"/>
      <c r="I207" s="1"/>
      <c r="J207" s="9" t="str">
        <f t="shared" si="3"/>
        <v/>
      </c>
      <c r="K207" s="1"/>
      <c r="L207" s="1"/>
    </row>
    <row r="208" spans="1:12" ht="16.8" x14ac:dyDescent="0.4">
      <c r="A208" s="1"/>
      <c r="B208" s="6"/>
      <c r="C208" s="7"/>
      <c r="D208" s="7"/>
      <c r="E208" s="7"/>
      <c r="F208" s="8"/>
      <c r="G208" s="1"/>
      <c r="H208" s="7"/>
      <c r="I208" s="1"/>
      <c r="J208" s="9" t="str">
        <f t="shared" si="3"/>
        <v/>
      </c>
      <c r="K208" s="1"/>
      <c r="L208" s="1"/>
    </row>
    <row r="209" spans="1:12" ht="16.8" x14ac:dyDescent="0.4">
      <c r="A209" s="1"/>
      <c r="B209" s="6"/>
      <c r="C209" s="7"/>
      <c r="D209" s="7"/>
      <c r="E209" s="7"/>
      <c r="F209" s="8"/>
      <c r="G209" s="1"/>
      <c r="H209" s="7"/>
      <c r="I209" s="1"/>
      <c r="J209" s="9" t="str">
        <f t="shared" si="3"/>
        <v/>
      </c>
      <c r="K209" s="1"/>
      <c r="L209" s="1"/>
    </row>
    <row r="210" spans="1:12" ht="16.8" x14ac:dyDescent="0.4">
      <c r="A210" s="1"/>
      <c r="B210" s="6"/>
      <c r="C210" s="7"/>
      <c r="D210" s="7"/>
      <c r="E210" s="7"/>
      <c r="F210" s="8"/>
      <c r="G210" s="1"/>
      <c r="H210" s="7"/>
      <c r="I210" s="1"/>
      <c r="J210" s="9" t="str">
        <f t="shared" si="3"/>
        <v/>
      </c>
      <c r="K210" s="1"/>
      <c r="L210" s="1"/>
    </row>
    <row r="211" spans="1:12" ht="16.8" x14ac:dyDescent="0.4">
      <c r="A211" s="1"/>
      <c r="B211" s="6"/>
      <c r="C211" s="7"/>
      <c r="D211" s="7"/>
      <c r="E211" s="7"/>
      <c r="F211" s="8"/>
      <c r="G211" s="1"/>
      <c r="H211" s="7"/>
      <c r="I211" s="1"/>
      <c r="J211" s="9" t="str">
        <f t="shared" si="3"/>
        <v/>
      </c>
      <c r="K211" s="1"/>
      <c r="L211" s="1"/>
    </row>
    <row r="212" spans="1:12" ht="16.8" x14ac:dyDescent="0.4">
      <c r="A212" s="1"/>
      <c r="B212" s="6"/>
      <c r="C212" s="7"/>
      <c r="D212" s="7"/>
      <c r="E212" s="7"/>
      <c r="F212" s="8"/>
      <c r="G212" s="1"/>
      <c r="H212" s="7"/>
      <c r="I212" s="1"/>
      <c r="J212" s="9" t="str">
        <f t="shared" si="3"/>
        <v/>
      </c>
      <c r="K212" s="1"/>
      <c r="L212" s="1"/>
    </row>
    <row r="213" spans="1:12" ht="16.8" x14ac:dyDescent="0.4">
      <c r="A213" s="1"/>
      <c r="B213" s="6"/>
      <c r="C213" s="7"/>
      <c r="D213" s="7"/>
      <c r="E213" s="7"/>
      <c r="F213" s="8"/>
      <c r="G213" s="1"/>
      <c r="H213" s="7"/>
      <c r="I213" s="1"/>
      <c r="J213" s="9" t="str">
        <f t="shared" si="3"/>
        <v/>
      </c>
      <c r="K213" s="1"/>
      <c r="L213" s="1"/>
    </row>
    <row r="214" spans="1:12" ht="16.8" x14ac:dyDescent="0.4">
      <c r="A214" s="1"/>
      <c r="B214" s="6"/>
      <c r="C214" s="7"/>
      <c r="D214" s="7"/>
      <c r="E214" s="7"/>
      <c r="F214" s="8"/>
      <c r="G214" s="1"/>
      <c r="H214" s="7"/>
      <c r="I214" s="1"/>
      <c r="J214" s="9" t="str">
        <f t="shared" si="3"/>
        <v/>
      </c>
      <c r="K214" s="1"/>
      <c r="L214" s="1"/>
    </row>
    <row r="215" spans="1:12" ht="16.8" x14ac:dyDescent="0.4">
      <c r="A215" s="1"/>
      <c r="B215" s="6"/>
      <c r="C215" s="7"/>
      <c r="D215" s="7"/>
      <c r="E215" s="7"/>
      <c r="F215" s="8"/>
      <c r="G215" s="1"/>
      <c r="H215" s="7"/>
      <c r="I215" s="1"/>
      <c r="J215" s="9" t="str">
        <f t="shared" si="3"/>
        <v/>
      </c>
      <c r="K215" s="1"/>
      <c r="L215" s="1"/>
    </row>
    <row r="216" spans="1:12" ht="16.8" x14ac:dyDescent="0.4">
      <c r="A216" s="1"/>
      <c r="B216" s="6"/>
      <c r="C216" s="7"/>
      <c r="D216" s="7"/>
      <c r="E216" s="7"/>
      <c r="F216" s="8"/>
      <c r="G216" s="1"/>
      <c r="H216" s="7"/>
      <c r="I216" s="1"/>
      <c r="J216" s="9" t="str">
        <f t="shared" si="3"/>
        <v/>
      </c>
      <c r="K216" s="1"/>
      <c r="L216" s="1"/>
    </row>
    <row r="217" spans="1:12" ht="16.8" x14ac:dyDescent="0.4">
      <c r="A217" s="1"/>
      <c r="B217" s="6"/>
      <c r="C217" s="7"/>
      <c r="D217" s="7"/>
      <c r="E217" s="7"/>
      <c r="F217" s="8"/>
      <c r="G217" s="1"/>
      <c r="H217" s="7"/>
      <c r="I217" s="1"/>
      <c r="J217" s="9" t="str">
        <f t="shared" si="3"/>
        <v/>
      </c>
      <c r="K217" s="1"/>
      <c r="L217" s="1"/>
    </row>
    <row r="218" spans="1:12" ht="16.8" x14ac:dyDescent="0.4">
      <c r="A218" s="1"/>
      <c r="B218" s="6"/>
      <c r="C218" s="7"/>
      <c r="D218" s="7"/>
      <c r="E218" s="7"/>
      <c r="F218" s="8"/>
      <c r="G218" s="1"/>
      <c r="H218" s="7"/>
      <c r="I218" s="1"/>
      <c r="J218" s="9" t="str">
        <f t="shared" si="3"/>
        <v/>
      </c>
      <c r="K218" s="1"/>
      <c r="L218" s="1"/>
    </row>
    <row r="219" spans="1:12" ht="16.8" x14ac:dyDescent="0.4">
      <c r="A219" s="1"/>
      <c r="B219" s="6"/>
      <c r="C219" s="7"/>
      <c r="D219" s="7"/>
      <c r="E219" s="7"/>
      <c r="F219" s="8"/>
      <c r="G219" s="1"/>
      <c r="H219" s="7"/>
      <c r="I219" s="1"/>
      <c r="J219" s="9" t="str">
        <f t="shared" si="3"/>
        <v/>
      </c>
      <c r="K219" s="1"/>
      <c r="L219" s="1"/>
    </row>
    <row r="220" spans="1:12" ht="16.8" x14ac:dyDescent="0.4">
      <c r="A220" s="1"/>
      <c r="B220" s="6"/>
      <c r="C220" s="7"/>
      <c r="D220" s="7"/>
      <c r="E220" s="7"/>
      <c r="F220" s="8"/>
      <c r="G220" s="1"/>
      <c r="H220" s="7"/>
      <c r="I220" s="1"/>
      <c r="J220" s="9" t="str">
        <f t="shared" si="3"/>
        <v/>
      </c>
      <c r="K220" s="1"/>
      <c r="L220" s="1"/>
    </row>
    <row r="221" spans="1:12" ht="16.8" x14ac:dyDescent="0.4">
      <c r="A221" s="1"/>
      <c r="B221" s="6"/>
      <c r="C221" s="7"/>
      <c r="D221" s="7"/>
      <c r="E221" s="7"/>
      <c r="F221" s="8"/>
      <c r="G221" s="1"/>
      <c r="H221" s="7"/>
      <c r="I221" s="1"/>
      <c r="J221" s="9" t="str">
        <f t="shared" si="3"/>
        <v/>
      </c>
      <c r="K221" s="1"/>
      <c r="L221" s="1"/>
    </row>
    <row r="222" spans="1:12" ht="16.8" x14ac:dyDescent="0.4">
      <c r="A222" s="1"/>
      <c r="B222" s="6"/>
      <c r="C222" s="7"/>
      <c r="D222" s="7"/>
      <c r="E222" s="7"/>
      <c r="F222" s="8"/>
      <c r="G222" s="1"/>
      <c r="H222" s="7"/>
      <c r="I222" s="1"/>
      <c r="J222" s="9" t="str">
        <f t="shared" si="3"/>
        <v/>
      </c>
      <c r="K222" s="1"/>
      <c r="L222" s="1"/>
    </row>
    <row r="223" spans="1:12" ht="16.8" x14ac:dyDescent="0.4">
      <c r="A223" s="1"/>
      <c r="B223" s="6"/>
      <c r="C223" s="7"/>
      <c r="D223" s="7"/>
      <c r="E223" s="7"/>
      <c r="F223" s="8"/>
      <c r="G223" s="1"/>
      <c r="H223" s="7"/>
      <c r="I223" s="1"/>
      <c r="J223" s="9" t="str">
        <f t="shared" si="3"/>
        <v/>
      </c>
      <c r="K223" s="1"/>
      <c r="L223" s="1"/>
    </row>
    <row r="224" spans="1:12" ht="16.8" x14ac:dyDescent="0.4">
      <c r="A224" s="1"/>
      <c r="B224" s="6"/>
      <c r="C224" s="7"/>
      <c r="D224" s="7"/>
      <c r="E224" s="7"/>
      <c r="F224" s="8"/>
      <c r="G224" s="1"/>
      <c r="H224" s="7"/>
      <c r="I224" s="1"/>
      <c r="J224" s="9" t="str">
        <f t="shared" si="3"/>
        <v/>
      </c>
      <c r="K224" s="1"/>
      <c r="L224" s="1"/>
    </row>
    <row r="225" spans="1:12" ht="16.8" x14ac:dyDescent="0.4">
      <c r="A225" s="1"/>
      <c r="B225" s="6"/>
      <c r="C225" s="7"/>
      <c r="D225" s="7"/>
      <c r="E225" s="7"/>
      <c r="F225" s="8"/>
      <c r="G225" s="1"/>
      <c r="H225" s="7"/>
      <c r="I225" s="1"/>
      <c r="J225" s="9" t="str">
        <f t="shared" si="3"/>
        <v/>
      </c>
      <c r="K225" s="1"/>
      <c r="L225" s="1"/>
    </row>
    <row r="226" spans="1:12" ht="16.8" x14ac:dyDescent="0.4">
      <c r="A226" s="1"/>
      <c r="B226" s="6"/>
      <c r="C226" s="7"/>
      <c r="D226" s="7"/>
      <c r="E226" s="7"/>
      <c r="F226" s="8"/>
      <c r="G226" s="1"/>
      <c r="H226" s="7"/>
      <c r="I226" s="1"/>
      <c r="J226" s="9" t="str">
        <f t="shared" si="3"/>
        <v/>
      </c>
      <c r="K226" s="1"/>
      <c r="L226" s="1"/>
    </row>
    <row r="227" spans="1:12" ht="16.8" x14ac:dyDescent="0.4">
      <c r="A227" s="1"/>
      <c r="B227" s="6"/>
      <c r="C227" s="7"/>
      <c r="D227" s="7"/>
      <c r="E227" s="7"/>
      <c r="F227" s="8"/>
      <c r="G227" s="1"/>
      <c r="H227" s="7"/>
      <c r="I227" s="1"/>
      <c r="J227" s="9" t="str">
        <f t="shared" si="3"/>
        <v/>
      </c>
      <c r="K227" s="1"/>
      <c r="L227" s="1"/>
    </row>
    <row r="228" spans="1:12" ht="16.8" x14ac:dyDescent="0.4">
      <c r="A228" s="1"/>
      <c r="B228" s="6"/>
      <c r="C228" s="7"/>
      <c r="D228" s="7"/>
      <c r="E228" s="7"/>
      <c r="F228" s="8"/>
      <c r="G228" s="1"/>
      <c r="H228" s="7"/>
      <c r="I228" s="1"/>
      <c r="J228" s="9" t="str">
        <f t="shared" si="3"/>
        <v/>
      </c>
      <c r="K228" s="1"/>
      <c r="L228" s="1"/>
    </row>
    <row r="229" spans="1:12" ht="16.8" x14ac:dyDescent="0.4">
      <c r="A229" s="1"/>
      <c r="B229" s="6"/>
      <c r="C229" s="7"/>
      <c r="D229" s="7"/>
      <c r="E229" s="7"/>
      <c r="F229" s="8"/>
      <c r="G229" s="1"/>
      <c r="H229" s="7"/>
      <c r="I229" s="1"/>
      <c r="J229" s="9" t="str">
        <f t="shared" si="3"/>
        <v/>
      </c>
      <c r="K229" s="1"/>
      <c r="L229" s="1"/>
    </row>
    <row r="230" spans="1:12" ht="16.8" x14ac:dyDescent="0.4">
      <c r="A230" s="1"/>
      <c r="B230" s="6"/>
      <c r="C230" s="7"/>
      <c r="D230" s="7"/>
      <c r="E230" s="7"/>
      <c r="F230" s="8"/>
      <c r="G230" s="1"/>
      <c r="H230" s="7"/>
      <c r="I230" s="1"/>
      <c r="J230" s="9" t="str">
        <f t="shared" si="3"/>
        <v/>
      </c>
      <c r="K230" s="1"/>
      <c r="L230" s="1"/>
    </row>
    <row r="231" spans="1:12" ht="16.8" x14ac:dyDescent="0.4">
      <c r="A231" s="1"/>
      <c r="B231" s="6"/>
      <c r="C231" s="7"/>
      <c r="D231" s="7"/>
      <c r="E231" s="7"/>
      <c r="F231" s="8"/>
      <c r="G231" s="1"/>
      <c r="H231" s="7"/>
      <c r="I231" s="1"/>
      <c r="J231" s="9" t="str">
        <f t="shared" si="3"/>
        <v/>
      </c>
      <c r="K231" s="1"/>
      <c r="L231" s="1"/>
    </row>
    <row r="232" spans="1:12" ht="16.8" x14ac:dyDescent="0.4">
      <c r="A232" s="1"/>
      <c r="B232" s="6"/>
      <c r="C232" s="7"/>
      <c r="D232" s="7"/>
      <c r="E232" s="7"/>
      <c r="F232" s="8"/>
      <c r="G232" s="1"/>
      <c r="H232" s="7"/>
      <c r="I232" s="1"/>
      <c r="J232" s="9" t="str">
        <f t="shared" si="3"/>
        <v/>
      </c>
      <c r="K232" s="1"/>
      <c r="L232" s="1"/>
    </row>
    <row r="233" spans="1:12" ht="16.8" x14ac:dyDescent="0.4">
      <c r="A233" s="1"/>
      <c r="B233" s="6"/>
      <c r="C233" s="7"/>
      <c r="D233" s="7"/>
      <c r="E233" s="7"/>
      <c r="F233" s="8"/>
      <c r="G233" s="1"/>
      <c r="H233" s="7"/>
      <c r="I233" s="1"/>
      <c r="J233" s="9" t="str">
        <f t="shared" si="3"/>
        <v/>
      </c>
      <c r="K233" s="1"/>
      <c r="L233" s="1"/>
    </row>
    <row r="234" spans="1:12" ht="16.8" x14ac:dyDescent="0.4">
      <c r="A234" s="1"/>
      <c r="B234" s="6"/>
      <c r="C234" s="7"/>
      <c r="D234" s="7"/>
      <c r="E234" s="7"/>
      <c r="F234" s="8"/>
      <c r="G234" s="1"/>
      <c r="H234" s="7"/>
      <c r="I234" s="1"/>
      <c r="J234" s="9" t="str">
        <f t="shared" si="3"/>
        <v/>
      </c>
      <c r="K234" s="1"/>
      <c r="L234" s="1"/>
    </row>
    <row r="235" spans="1:12" ht="16.8" x14ac:dyDescent="0.4">
      <c r="A235" s="1"/>
      <c r="B235" s="6"/>
      <c r="C235" s="7"/>
      <c r="D235" s="7"/>
      <c r="E235" s="7"/>
      <c r="F235" s="8"/>
      <c r="G235" s="1"/>
      <c r="H235" s="7"/>
      <c r="I235" s="1"/>
      <c r="J235" s="9" t="str">
        <f t="shared" si="3"/>
        <v/>
      </c>
      <c r="K235" s="1"/>
      <c r="L235" s="1"/>
    </row>
    <row r="236" spans="1:12" ht="16.8" x14ac:dyDescent="0.4">
      <c r="A236" s="1"/>
      <c r="B236" s="6"/>
      <c r="C236" s="7"/>
      <c r="D236" s="7"/>
      <c r="E236" s="7"/>
      <c r="F236" s="8"/>
      <c r="G236" s="1"/>
      <c r="H236" s="7"/>
      <c r="I236" s="1"/>
      <c r="J236" s="9" t="str">
        <f t="shared" si="3"/>
        <v/>
      </c>
      <c r="K236" s="1"/>
      <c r="L236" s="1"/>
    </row>
    <row r="237" spans="1:12" ht="16.8" x14ac:dyDescent="0.4">
      <c r="A237" s="1"/>
      <c r="B237" s="6"/>
      <c r="C237" s="7"/>
      <c r="D237" s="7"/>
      <c r="E237" s="7"/>
      <c r="F237" s="8"/>
      <c r="G237" s="1"/>
      <c r="H237" s="7"/>
      <c r="I237" s="1"/>
      <c r="J237" s="9" t="str">
        <f t="shared" si="3"/>
        <v/>
      </c>
      <c r="K237" s="1"/>
      <c r="L237" s="1"/>
    </row>
    <row r="238" spans="1:12" ht="16.8" x14ac:dyDescent="0.4">
      <c r="A238" s="1"/>
      <c r="B238" s="6"/>
      <c r="C238" s="7"/>
      <c r="D238" s="7"/>
      <c r="E238" s="7"/>
      <c r="F238" s="8"/>
      <c r="G238" s="1"/>
      <c r="H238" s="7"/>
      <c r="I238" s="1"/>
      <c r="J238" s="9" t="str">
        <f t="shared" si="3"/>
        <v/>
      </c>
      <c r="K238" s="1"/>
      <c r="L238" s="1"/>
    </row>
    <row r="239" spans="1:12" ht="16.8" x14ac:dyDescent="0.4">
      <c r="A239" s="1"/>
      <c r="B239" s="6"/>
      <c r="C239" s="7"/>
      <c r="D239" s="7"/>
      <c r="E239" s="7"/>
      <c r="F239" s="8"/>
      <c r="G239" s="1"/>
      <c r="H239" s="7"/>
      <c r="I239" s="1"/>
      <c r="J239" s="9" t="str">
        <f t="shared" si="3"/>
        <v/>
      </c>
      <c r="K239" s="1"/>
      <c r="L239" s="1"/>
    </row>
    <row r="240" spans="1:12" ht="16.8" x14ac:dyDescent="0.4">
      <c r="A240" s="1"/>
      <c r="B240" s="6"/>
      <c r="C240" s="7"/>
      <c r="D240" s="7"/>
      <c r="E240" s="7"/>
      <c r="F240" s="8"/>
      <c r="G240" s="1"/>
      <c r="H240" s="7"/>
      <c r="I240" s="1"/>
      <c r="J240" s="9" t="str">
        <f t="shared" si="3"/>
        <v/>
      </c>
      <c r="K240" s="1"/>
      <c r="L240" s="1"/>
    </row>
    <row r="241" spans="1:12" ht="16.8" x14ac:dyDescent="0.4">
      <c r="A241" s="1"/>
      <c r="B241" s="6"/>
      <c r="C241" s="7"/>
      <c r="D241" s="7"/>
      <c r="E241" s="7"/>
      <c r="F241" s="8"/>
      <c r="G241" s="1"/>
      <c r="H241" s="7"/>
      <c r="I241" s="1"/>
      <c r="J241" s="9" t="str">
        <f t="shared" si="3"/>
        <v/>
      </c>
      <c r="K241" s="1"/>
      <c r="L241" s="1"/>
    </row>
    <row r="242" spans="1:12" ht="16.8" x14ac:dyDescent="0.4">
      <c r="A242" s="1"/>
      <c r="B242" s="6"/>
      <c r="C242" s="7"/>
      <c r="D242" s="7"/>
      <c r="E242" s="7"/>
      <c r="F242" s="8"/>
      <c r="G242" s="1"/>
      <c r="H242" s="7"/>
      <c r="I242" s="1"/>
      <c r="J242" s="9" t="str">
        <f t="shared" si="3"/>
        <v/>
      </c>
      <c r="K242" s="1"/>
      <c r="L242" s="1"/>
    </row>
    <row r="243" spans="1:12" ht="16.8" x14ac:dyDescent="0.4">
      <c r="A243" s="1"/>
      <c r="B243" s="6"/>
      <c r="C243" s="7"/>
      <c r="D243" s="7"/>
      <c r="E243" s="7"/>
      <c r="F243" s="8"/>
      <c r="G243" s="1"/>
      <c r="H243" s="7"/>
      <c r="I243" s="1"/>
      <c r="J243" s="9" t="str">
        <f t="shared" si="3"/>
        <v/>
      </c>
      <c r="K243" s="1"/>
      <c r="L243" s="1"/>
    </row>
    <row r="244" spans="1:12" ht="16.8" x14ac:dyDescent="0.4">
      <c r="A244" s="1"/>
      <c r="B244" s="6"/>
      <c r="C244" s="7"/>
      <c r="D244" s="7"/>
      <c r="E244" s="7"/>
      <c r="F244" s="8"/>
      <c r="G244" s="1"/>
      <c r="H244" s="7"/>
      <c r="I244" s="1"/>
      <c r="J244" s="9" t="str">
        <f t="shared" si="3"/>
        <v/>
      </c>
      <c r="K244" s="1"/>
      <c r="L244" s="1"/>
    </row>
    <row r="245" spans="1:12" ht="16.8" x14ac:dyDescent="0.4">
      <c r="A245" s="1"/>
      <c r="B245" s="6"/>
      <c r="C245" s="7"/>
      <c r="D245" s="7"/>
      <c r="E245" s="7"/>
      <c r="F245" s="8"/>
      <c r="G245" s="1"/>
      <c r="H245" s="7"/>
      <c r="I245" s="1"/>
      <c r="J245" s="9" t="str">
        <f t="shared" si="3"/>
        <v/>
      </c>
      <c r="K245" s="1"/>
      <c r="L245" s="1"/>
    </row>
    <row r="246" spans="1:12" ht="16.8" x14ac:dyDescent="0.4">
      <c r="A246" s="1"/>
      <c r="B246" s="6"/>
      <c r="C246" s="7"/>
      <c r="D246" s="7"/>
      <c r="E246" s="7"/>
      <c r="F246" s="8"/>
      <c r="G246" s="1"/>
      <c r="H246" s="7"/>
      <c r="I246" s="1"/>
      <c r="J246" s="9" t="str">
        <f t="shared" si="3"/>
        <v/>
      </c>
      <c r="K246" s="1"/>
      <c r="L246" s="1"/>
    </row>
    <row r="247" spans="1:12" ht="16.8" x14ac:dyDescent="0.4">
      <c r="A247" s="1"/>
      <c r="B247" s="6"/>
      <c r="C247" s="7"/>
      <c r="D247" s="7"/>
      <c r="E247" s="7"/>
      <c r="F247" s="8"/>
      <c r="G247" s="1"/>
      <c r="H247" s="7"/>
      <c r="I247" s="1"/>
      <c r="J247" s="9" t="str">
        <f t="shared" si="3"/>
        <v/>
      </c>
      <c r="K247" s="1"/>
      <c r="L247" s="1"/>
    </row>
    <row r="248" spans="1:12" ht="16.8" x14ac:dyDescent="0.4">
      <c r="A248" s="1"/>
      <c r="B248" s="6"/>
      <c r="C248" s="7"/>
      <c r="D248" s="7"/>
      <c r="E248" s="7"/>
      <c r="F248" s="8"/>
      <c r="G248" s="1"/>
      <c r="H248" s="7"/>
      <c r="I248" s="1"/>
      <c r="J248" s="9" t="str">
        <f t="shared" si="3"/>
        <v/>
      </c>
      <c r="K248" s="1"/>
      <c r="L248" s="1"/>
    </row>
    <row r="249" spans="1:12" ht="16.8" x14ac:dyDescent="0.4">
      <c r="A249" s="1"/>
      <c r="B249" s="6"/>
      <c r="C249" s="7"/>
      <c r="D249" s="7"/>
      <c r="E249" s="7"/>
      <c r="F249" s="8"/>
      <c r="G249" s="1"/>
      <c r="H249" s="7"/>
      <c r="I249" s="1"/>
      <c r="J249" s="9" t="str">
        <f t="shared" si="3"/>
        <v/>
      </c>
      <c r="K249" s="1"/>
      <c r="L249" s="1"/>
    </row>
    <row r="250" spans="1:12" ht="16.8" x14ac:dyDescent="0.4">
      <c r="A250" s="1"/>
      <c r="B250" s="6"/>
      <c r="C250" s="7"/>
      <c r="D250" s="7"/>
      <c r="E250" s="7"/>
      <c r="F250" s="8"/>
      <c r="G250" s="1"/>
      <c r="H250" s="7"/>
      <c r="I250" s="1"/>
      <c r="J250" s="9" t="str">
        <f t="shared" si="3"/>
        <v/>
      </c>
      <c r="K250" s="1"/>
      <c r="L250" s="1"/>
    </row>
    <row r="251" spans="1:12" ht="16.8" x14ac:dyDescent="0.4">
      <c r="A251" s="1"/>
      <c r="B251" s="6"/>
      <c r="C251" s="7"/>
      <c r="D251" s="7"/>
      <c r="E251" s="7"/>
      <c r="F251" s="8"/>
      <c r="G251" s="1"/>
      <c r="H251" s="7"/>
      <c r="I251" s="1"/>
      <c r="J251" s="9" t="str">
        <f t="shared" si="3"/>
        <v/>
      </c>
      <c r="K251" s="1"/>
      <c r="L251" s="1"/>
    </row>
    <row r="252" spans="1:12" ht="16.8" x14ac:dyDescent="0.4">
      <c r="A252" s="1"/>
      <c r="B252" s="6"/>
      <c r="C252" s="7"/>
      <c r="D252" s="7"/>
      <c r="E252" s="7"/>
      <c r="F252" s="8"/>
      <c r="G252" s="1"/>
      <c r="H252" s="7"/>
      <c r="I252" s="1"/>
      <c r="J252" s="9" t="str">
        <f t="shared" si="3"/>
        <v/>
      </c>
      <c r="K252" s="1"/>
      <c r="L252" s="1"/>
    </row>
    <row r="253" spans="1:12" ht="16.8" x14ac:dyDescent="0.4">
      <c r="A253" s="1"/>
      <c r="B253" s="6"/>
      <c r="C253" s="7"/>
      <c r="D253" s="7"/>
      <c r="E253" s="7"/>
      <c r="F253" s="8"/>
      <c r="G253" s="1"/>
      <c r="H253" s="7"/>
      <c r="I253" s="1"/>
      <c r="J253" s="9" t="str">
        <f t="shared" si="3"/>
        <v/>
      </c>
      <c r="K253" s="1"/>
      <c r="L253" s="1"/>
    </row>
    <row r="254" spans="1:12" ht="16.8" x14ac:dyDescent="0.4">
      <c r="A254" s="1"/>
      <c r="B254" s="6"/>
      <c r="C254" s="7"/>
      <c r="D254" s="7"/>
      <c r="E254" s="7"/>
      <c r="F254" s="8"/>
      <c r="G254" s="1"/>
      <c r="H254" s="7"/>
      <c r="I254" s="1"/>
      <c r="J254" s="9" t="str">
        <f t="shared" si="3"/>
        <v/>
      </c>
      <c r="K254" s="1"/>
      <c r="L254" s="1"/>
    </row>
    <row r="255" spans="1:12" ht="16.8" x14ac:dyDescent="0.4">
      <c r="A255" s="1"/>
      <c r="B255" s="6"/>
      <c r="C255" s="7"/>
      <c r="D255" s="7"/>
      <c r="E255" s="7"/>
      <c r="F255" s="8"/>
      <c r="G255" s="1"/>
      <c r="H255" s="7"/>
      <c r="I255" s="1"/>
      <c r="J255" s="9" t="str">
        <f t="shared" si="3"/>
        <v/>
      </c>
      <c r="K255" s="1"/>
      <c r="L255" s="1"/>
    </row>
    <row r="256" spans="1:12" ht="16.8" x14ac:dyDescent="0.4">
      <c r="A256" s="1"/>
      <c r="B256" s="6"/>
      <c r="C256" s="7"/>
      <c r="D256" s="7"/>
      <c r="E256" s="7"/>
      <c r="F256" s="8"/>
      <c r="G256" s="1"/>
      <c r="H256" s="7"/>
      <c r="I256" s="1"/>
      <c r="J256" s="9" t="str">
        <f t="shared" si="3"/>
        <v/>
      </c>
      <c r="K256" s="1"/>
      <c r="L256" s="1"/>
    </row>
    <row r="257" spans="1:12" ht="16.8" x14ac:dyDescent="0.4">
      <c r="A257" s="1"/>
      <c r="B257" s="6"/>
      <c r="C257" s="7"/>
      <c r="D257" s="7"/>
      <c r="E257" s="7"/>
      <c r="F257" s="8"/>
      <c r="G257" s="1"/>
      <c r="H257" s="7"/>
      <c r="I257" s="1"/>
      <c r="J257" s="9" t="str">
        <f t="shared" si="3"/>
        <v/>
      </c>
      <c r="K257" s="1"/>
      <c r="L257" s="1"/>
    </row>
    <row r="258" spans="1:12" ht="16.8" x14ac:dyDescent="0.4">
      <c r="A258" s="1"/>
      <c r="B258" s="6"/>
      <c r="C258" s="7"/>
      <c r="D258" s="7"/>
      <c r="E258" s="7"/>
      <c r="F258" s="8"/>
      <c r="G258" s="1"/>
      <c r="H258" s="7"/>
      <c r="I258" s="1"/>
      <c r="J258" s="9" t="str">
        <f t="shared" si="3"/>
        <v/>
      </c>
      <c r="K258" s="1"/>
      <c r="L258" s="1"/>
    </row>
    <row r="259" spans="1:12" ht="16.8" x14ac:dyDescent="0.4">
      <c r="A259" s="1"/>
      <c r="B259" s="6"/>
      <c r="C259" s="7"/>
      <c r="D259" s="7"/>
      <c r="E259" s="7"/>
      <c r="F259" s="8"/>
      <c r="G259" s="1"/>
      <c r="H259" s="7"/>
      <c r="I259" s="1"/>
      <c r="J259" s="9" t="str">
        <f t="shared" si="3"/>
        <v/>
      </c>
      <c r="K259" s="1"/>
      <c r="L259" s="1"/>
    </row>
    <row r="260" spans="1:12" ht="16.8" x14ac:dyDescent="0.4">
      <c r="A260" s="1"/>
      <c r="B260" s="6"/>
      <c r="C260" s="7"/>
      <c r="D260" s="7"/>
      <c r="E260" s="7"/>
      <c r="F260" s="8"/>
      <c r="G260" s="1"/>
      <c r="H260" s="7"/>
      <c r="I260" s="1"/>
      <c r="J260" s="9" t="str">
        <f t="shared" si="3"/>
        <v/>
      </c>
      <c r="K260" s="1"/>
      <c r="L260" s="1"/>
    </row>
    <row r="261" spans="1:12" ht="16.8" x14ac:dyDescent="0.4">
      <c r="A261" s="1"/>
      <c r="B261" s="6"/>
      <c r="C261" s="7"/>
      <c r="D261" s="7"/>
      <c r="E261" s="7"/>
      <c r="F261" s="8"/>
      <c r="G261" s="1"/>
      <c r="H261" s="7"/>
      <c r="I261" s="1"/>
      <c r="J261" s="9" t="str">
        <f t="shared" si="3"/>
        <v/>
      </c>
      <c r="K261" s="1"/>
      <c r="L261" s="1"/>
    </row>
    <row r="262" spans="1:12" ht="16.8" x14ac:dyDescent="0.4">
      <c r="A262" s="1"/>
      <c r="B262" s="6"/>
      <c r="C262" s="7"/>
      <c r="D262" s="7"/>
      <c r="E262" s="7"/>
      <c r="F262" s="8"/>
      <c r="G262" s="1"/>
      <c r="H262" s="7"/>
      <c r="I262" s="1"/>
      <c r="J262" s="9" t="str">
        <f t="shared" si="3"/>
        <v/>
      </c>
      <c r="K262" s="1"/>
      <c r="L262" s="1"/>
    </row>
    <row r="263" spans="1:12" ht="16.8" x14ac:dyDescent="0.4">
      <c r="A263" s="1"/>
      <c r="B263" s="6"/>
      <c r="C263" s="7"/>
      <c r="D263" s="7"/>
      <c r="E263" s="7"/>
      <c r="F263" s="8"/>
      <c r="G263" s="1"/>
      <c r="H263" s="7"/>
      <c r="I263" s="1"/>
      <c r="J263" s="9" t="str">
        <f t="shared" ref="J263:J326" si="4">IF($B263="","",TEXT($B263,"yyyy-mm"))</f>
        <v/>
      </c>
      <c r="K263" s="1"/>
      <c r="L263" s="1"/>
    </row>
    <row r="264" spans="1:12" ht="16.8" x14ac:dyDescent="0.4">
      <c r="A264" s="1"/>
      <c r="B264" s="6"/>
      <c r="C264" s="7"/>
      <c r="D264" s="7"/>
      <c r="E264" s="7"/>
      <c r="F264" s="8"/>
      <c r="G264" s="1"/>
      <c r="H264" s="7"/>
      <c r="I264" s="1"/>
      <c r="J264" s="9" t="str">
        <f t="shared" si="4"/>
        <v/>
      </c>
      <c r="K264" s="1"/>
      <c r="L264" s="1"/>
    </row>
    <row r="265" spans="1:12" ht="16.8" x14ac:dyDescent="0.4">
      <c r="A265" s="1"/>
      <c r="B265" s="6"/>
      <c r="C265" s="7"/>
      <c r="D265" s="7"/>
      <c r="E265" s="7"/>
      <c r="F265" s="8"/>
      <c r="G265" s="1"/>
      <c r="H265" s="7"/>
      <c r="I265" s="1"/>
      <c r="J265" s="9" t="str">
        <f t="shared" si="4"/>
        <v/>
      </c>
      <c r="K265" s="1"/>
      <c r="L265" s="1"/>
    </row>
    <row r="266" spans="1:12" ht="16.8" x14ac:dyDescent="0.4">
      <c r="A266" s="1"/>
      <c r="B266" s="6"/>
      <c r="C266" s="7"/>
      <c r="D266" s="7"/>
      <c r="E266" s="7"/>
      <c r="F266" s="8"/>
      <c r="G266" s="1"/>
      <c r="H266" s="7"/>
      <c r="I266" s="1"/>
      <c r="J266" s="9" t="str">
        <f t="shared" si="4"/>
        <v/>
      </c>
      <c r="K266" s="1"/>
      <c r="L266" s="1"/>
    </row>
    <row r="267" spans="1:12" ht="16.8" x14ac:dyDescent="0.4">
      <c r="A267" s="1"/>
      <c r="B267" s="6"/>
      <c r="C267" s="7"/>
      <c r="D267" s="7"/>
      <c r="E267" s="7"/>
      <c r="F267" s="8"/>
      <c r="G267" s="1"/>
      <c r="H267" s="7"/>
      <c r="I267" s="1"/>
      <c r="J267" s="9" t="str">
        <f t="shared" si="4"/>
        <v/>
      </c>
      <c r="K267" s="1"/>
      <c r="L267" s="1"/>
    </row>
    <row r="268" spans="1:12" ht="16.8" x14ac:dyDescent="0.4">
      <c r="A268" s="1"/>
      <c r="B268" s="6"/>
      <c r="C268" s="7"/>
      <c r="D268" s="7"/>
      <c r="E268" s="7"/>
      <c r="F268" s="8"/>
      <c r="G268" s="1"/>
      <c r="H268" s="7"/>
      <c r="I268" s="1"/>
      <c r="J268" s="9" t="str">
        <f t="shared" si="4"/>
        <v/>
      </c>
      <c r="K268" s="1"/>
      <c r="L268" s="1"/>
    </row>
    <row r="269" spans="1:12" ht="16.8" x14ac:dyDescent="0.4">
      <c r="A269" s="1"/>
      <c r="B269" s="6"/>
      <c r="C269" s="7"/>
      <c r="D269" s="7"/>
      <c r="E269" s="7"/>
      <c r="F269" s="8"/>
      <c r="G269" s="1"/>
      <c r="H269" s="7"/>
      <c r="I269" s="1"/>
      <c r="J269" s="9" t="str">
        <f t="shared" si="4"/>
        <v/>
      </c>
      <c r="K269" s="1"/>
      <c r="L269" s="1"/>
    </row>
    <row r="270" spans="1:12" ht="16.8" x14ac:dyDescent="0.4">
      <c r="A270" s="1"/>
      <c r="B270" s="6"/>
      <c r="C270" s="7"/>
      <c r="D270" s="7"/>
      <c r="E270" s="7"/>
      <c r="F270" s="8"/>
      <c r="G270" s="1"/>
      <c r="H270" s="7"/>
      <c r="I270" s="1"/>
      <c r="J270" s="9" t="str">
        <f t="shared" si="4"/>
        <v/>
      </c>
      <c r="K270" s="1"/>
      <c r="L270" s="1"/>
    </row>
    <row r="271" spans="1:12" ht="16.8" x14ac:dyDescent="0.4">
      <c r="A271" s="1"/>
      <c r="B271" s="6"/>
      <c r="C271" s="7"/>
      <c r="D271" s="7"/>
      <c r="E271" s="7"/>
      <c r="F271" s="8"/>
      <c r="G271" s="1"/>
      <c r="H271" s="7"/>
      <c r="I271" s="1"/>
      <c r="J271" s="9" t="str">
        <f t="shared" si="4"/>
        <v/>
      </c>
      <c r="K271" s="1"/>
      <c r="L271" s="1"/>
    </row>
    <row r="272" spans="1:12" ht="16.8" x14ac:dyDescent="0.4">
      <c r="A272" s="1"/>
      <c r="B272" s="6"/>
      <c r="C272" s="7"/>
      <c r="D272" s="7"/>
      <c r="E272" s="7"/>
      <c r="F272" s="8"/>
      <c r="G272" s="1"/>
      <c r="H272" s="7"/>
      <c r="I272" s="1"/>
      <c r="J272" s="9" t="str">
        <f t="shared" si="4"/>
        <v/>
      </c>
      <c r="K272" s="1"/>
      <c r="L272" s="1"/>
    </row>
    <row r="273" spans="1:12" ht="16.8" x14ac:dyDescent="0.4">
      <c r="A273" s="1"/>
      <c r="B273" s="6"/>
      <c r="C273" s="7"/>
      <c r="D273" s="7"/>
      <c r="E273" s="7"/>
      <c r="F273" s="8"/>
      <c r="G273" s="1"/>
      <c r="H273" s="7"/>
      <c r="I273" s="1"/>
      <c r="J273" s="9" t="str">
        <f t="shared" si="4"/>
        <v/>
      </c>
      <c r="K273" s="1"/>
      <c r="L273" s="1"/>
    </row>
    <row r="274" spans="1:12" ht="16.8" x14ac:dyDescent="0.4">
      <c r="A274" s="1"/>
      <c r="B274" s="6"/>
      <c r="C274" s="7"/>
      <c r="D274" s="7"/>
      <c r="E274" s="7"/>
      <c r="F274" s="8"/>
      <c r="G274" s="1"/>
      <c r="H274" s="7"/>
      <c r="I274" s="1"/>
      <c r="J274" s="9" t="str">
        <f t="shared" si="4"/>
        <v/>
      </c>
      <c r="K274" s="1"/>
      <c r="L274" s="1"/>
    </row>
    <row r="275" spans="1:12" ht="16.8" x14ac:dyDescent="0.4">
      <c r="A275" s="1"/>
      <c r="B275" s="6"/>
      <c r="C275" s="7"/>
      <c r="D275" s="7"/>
      <c r="E275" s="7"/>
      <c r="F275" s="8"/>
      <c r="G275" s="1"/>
      <c r="H275" s="7"/>
      <c r="I275" s="1"/>
      <c r="J275" s="9" t="str">
        <f t="shared" si="4"/>
        <v/>
      </c>
      <c r="K275" s="1"/>
      <c r="L275" s="1"/>
    </row>
    <row r="276" spans="1:12" ht="16.8" x14ac:dyDescent="0.4">
      <c r="A276" s="1"/>
      <c r="B276" s="6"/>
      <c r="C276" s="7"/>
      <c r="D276" s="7"/>
      <c r="E276" s="7"/>
      <c r="F276" s="8"/>
      <c r="G276" s="1"/>
      <c r="H276" s="7"/>
      <c r="I276" s="1"/>
      <c r="J276" s="9" t="str">
        <f t="shared" si="4"/>
        <v/>
      </c>
      <c r="K276" s="1"/>
      <c r="L276" s="1"/>
    </row>
    <row r="277" spans="1:12" ht="16.8" x14ac:dyDescent="0.4">
      <c r="A277" s="1"/>
      <c r="B277" s="6"/>
      <c r="C277" s="7"/>
      <c r="D277" s="7"/>
      <c r="E277" s="7"/>
      <c r="F277" s="8"/>
      <c r="G277" s="1"/>
      <c r="H277" s="7"/>
      <c r="I277" s="1"/>
      <c r="J277" s="9" t="str">
        <f t="shared" si="4"/>
        <v/>
      </c>
      <c r="K277" s="1"/>
      <c r="L277" s="1"/>
    </row>
    <row r="278" spans="1:12" ht="16.8" x14ac:dyDescent="0.4">
      <c r="A278" s="1"/>
      <c r="B278" s="6"/>
      <c r="C278" s="7"/>
      <c r="D278" s="7"/>
      <c r="E278" s="7"/>
      <c r="F278" s="8"/>
      <c r="G278" s="1"/>
      <c r="H278" s="7"/>
      <c r="I278" s="1"/>
      <c r="J278" s="9" t="str">
        <f t="shared" si="4"/>
        <v/>
      </c>
      <c r="K278" s="1"/>
      <c r="L278" s="1"/>
    </row>
    <row r="279" spans="1:12" ht="16.8" x14ac:dyDescent="0.4">
      <c r="A279" s="1"/>
      <c r="B279" s="6"/>
      <c r="C279" s="7"/>
      <c r="D279" s="7"/>
      <c r="E279" s="7"/>
      <c r="F279" s="8"/>
      <c r="G279" s="1"/>
      <c r="H279" s="7"/>
      <c r="I279" s="1"/>
      <c r="J279" s="9" t="str">
        <f t="shared" si="4"/>
        <v/>
      </c>
      <c r="K279" s="1"/>
      <c r="L279" s="1"/>
    </row>
    <row r="280" spans="1:12" ht="16.8" x14ac:dyDescent="0.4">
      <c r="A280" s="1"/>
      <c r="B280" s="6"/>
      <c r="C280" s="7"/>
      <c r="D280" s="7"/>
      <c r="E280" s="7"/>
      <c r="F280" s="8"/>
      <c r="G280" s="1"/>
      <c r="H280" s="7"/>
      <c r="I280" s="1"/>
      <c r="J280" s="9" t="str">
        <f t="shared" si="4"/>
        <v/>
      </c>
      <c r="K280" s="1"/>
      <c r="L280" s="1"/>
    </row>
    <row r="281" spans="1:12" ht="16.8" x14ac:dyDescent="0.4">
      <c r="A281" s="1"/>
      <c r="B281" s="6"/>
      <c r="C281" s="7"/>
      <c r="D281" s="7"/>
      <c r="E281" s="7"/>
      <c r="F281" s="8"/>
      <c r="G281" s="1"/>
      <c r="H281" s="7"/>
      <c r="I281" s="1"/>
      <c r="J281" s="9" t="str">
        <f t="shared" si="4"/>
        <v/>
      </c>
      <c r="K281" s="1"/>
      <c r="L281" s="1"/>
    </row>
    <row r="282" spans="1:12" ht="16.8" x14ac:dyDescent="0.4">
      <c r="A282" s="1"/>
      <c r="B282" s="6"/>
      <c r="C282" s="7"/>
      <c r="D282" s="7"/>
      <c r="E282" s="7"/>
      <c r="F282" s="8"/>
      <c r="G282" s="1"/>
      <c r="H282" s="7"/>
      <c r="I282" s="1"/>
      <c r="J282" s="9" t="str">
        <f t="shared" si="4"/>
        <v/>
      </c>
      <c r="K282" s="1"/>
      <c r="L282" s="1"/>
    </row>
    <row r="283" spans="1:12" ht="16.8" x14ac:dyDescent="0.4">
      <c r="A283" s="1"/>
      <c r="B283" s="6"/>
      <c r="C283" s="7"/>
      <c r="D283" s="7"/>
      <c r="E283" s="7"/>
      <c r="F283" s="8"/>
      <c r="G283" s="1"/>
      <c r="H283" s="7"/>
      <c r="I283" s="1"/>
      <c r="J283" s="9" t="str">
        <f t="shared" si="4"/>
        <v/>
      </c>
      <c r="K283" s="1"/>
      <c r="L283" s="1"/>
    </row>
    <row r="284" spans="1:12" ht="16.8" x14ac:dyDescent="0.4">
      <c r="A284" s="1"/>
      <c r="B284" s="6"/>
      <c r="C284" s="7"/>
      <c r="D284" s="7"/>
      <c r="E284" s="7"/>
      <c r="F284" s="8"/>
      <c r="G284" s="1"/>
      <c r="H284" s="7"/>
      <c r="I284" s="1"/>
      <c r="J284" s="9" t="str">
        <f t="shared" si="4"/>
        <v/>
      </c>
      <c r="K284" s="1"/>
      <c r="L284" s="1"/>
    </row>
    <row r="285" spans="1:12" ht="16.8" x14ac:dyDescent="0.4">
      <c r="A285" s="1"/>
      <c r="B285" s="6"/>
      <c r="C285" s="7"/>
      <c r="D285" s="7"/>
      <c r="E285" s="7"/>
      <c r="F285" s="8"/>
      <c r="G285" s="1"/>
      <c r="H285" s="7"/>
      <c r="I285" s="1"/>
      <c r="J285" s="9" t="str">
        <f t="shared" si="4"/>
        <v/>
      </c>
      <c r="K285" s="1"/>
      <c r="L285" s="1"/>
    </row>
    <row r="286" spans="1:12" ht="16.8" x14ac:dyDescent="0.4">
      <c r="A286" s="1"/>
      <c r="B286" s="6"/>
      <c r="C286" s="7"/>
      <c r="D286" s="7"/>
      <c r="E286" s="7"/>
      <c r="F286" s="8"/>
      <c r="G286" s="1"/>
      <c r="H286" s="7"/>
      <c r="I286" s="1"/>
      <c r="J286" s="9" t="str">
        <f t="shared" si="4"/>
        <v/>
      </c>
      <c r="K286" s="1"/>
      <c r="L286" s="1"/>
    </row>
    <row r="287" spans="1:12" ht="16.8" x14ac:dyDescent="0.4">
      <c r="A287" s="1"/>
      <c r="B287" s="6"/>
      <c r="C287" s="7"/>
      <c r="D287" s="7"/>
      <c r="E287" s="7"/>
      <c r="F287" s="8"/>
      <c r="G287" s="1"/>
      <c r="H287" s="7"/>
      <c r="I287" s="1"/>
      <c r="J287" s="9" t="str">
        <f t="shared" si="4"/>
        <v/>
      </c>
      <c r="K287" s="1"/>
      <c r="L287" s="1"/>
    </row>
    <row r="288" spans="1:12" ht="16.8" x14ac:dyDescent="0.4">
      <c r="A288" s="1"/>
      <c r="B288" s="6"/>
      <c r="C288" s="7"/>
      <c r="D288" s="7"/>
      <c r="E288" s="7"/>
      <c r="F288" s="8"/>
      <c r="G288" s="1"/>
      <c r="H288" s="7"/>
      <c r="I288" s="1"/>
      <c r="J288" s="9" t="str">
        <f t="shared" si="4"/>
        <v/>
      </c>
      <c r="K288" s="1"/>
      <c r="L288" s="1"/>
    </row>
    <row r="289" spans="1:12" ht="16.8" x14ac:dyDescent="0.4">
      <c r="A289" s="1"/>
      <c r="B289" s="6"/>
      <c r="C289" s="7"/>
      <c r="D289" s="7"/>
      <c r="E289" s="7"/>
      <c r="F289" s="8"/>
      <c r="G289" s="1"/>
      <c r="H289" s="7"/>
      <c r="I289" s="1"/>
      <c r="J289" s="9" t="str">
        <f t="shared" si="4"/>
        <v/>
      </c>
      <c r="K289" s="1"/>
      <c r="L289" s="1"/>
    </row>
    <row r="290" spans="1:12" ht="16.8" x14ac:dyDescent="0.4">
      <c r="A290" s="1"/>
      <c r="B290" s="6"/>
      <c r="C290" s="7"/>
      <c r="D290" s="7"/>
      <c r="E290" s="7"/>
      <c r="F290" s="8"/>
      <c r="G290" s="1"/>
      <c r="H290" s="7"/>
      <c r="I290" s="1"/>
      <c r="J290" s="9" t="str">
        <f t="shared" si="4"/>
        <v/>
      </c>
      <c r="K290" s="1"/>
      <c r="L290" s="1"/>
    </row>
    <row r="291" spans="1:12" ht="16.8" x14ac:dyDescent="0.4">
      <c r="A291" s="1"/>
      <c r="B291" s="6"/>
      <c r="C291" s="7"/>
      <c r="D291" s="7"/>
      <c r="E291" s="7"/>
      <c r="F291" s="8"/>
      <c r="G291" s="1"/>
      <c r="H291" s="7"/>
      <c r="I291" s="1"/>
      <c r="J291" s="9" t="str">
        <f t="shared" si="4"/>
        <v/>
      </c>
      <c r="K291" s="1"/>
      <c r="L291" s="1"/>
    </row>
    <row r="292" spans="1:12" ht="16.8" x14ac:dyDescent="0.4">
      <c r="A292" s="1"/>
      <c r="B292" s="6"/>
      <c r="C292" s="7"/>
      <c r="D292" s="7"/>
      <c r="E292" s="7"/>
      <c r="F292" s="8"/>
      <c r="G292" s="1"/>
      <c r="H292" s="7"/>
      <c r="I292" s="1"/>
      <c r="J292" s="9" t="str">
        <f t="shared" si="4"/>
        <v/>
      </c>
      <c r="K292" s="1"/>
      <c r="L292" s="1"/>
    </row>
    <row r="293" spans="1:12" ht="16.8" x14ac:dyDescent="0.4">
      <c r="A293" s="1"/>
      <c r="B293" s="6"/>
      <c r="C293" s="7"/>
      <c r="D293" s="7"/>
      <c r="E293" s="7"/>
      <c r="F293" s="8"/>
      <c r="G293" s="1"/>
      <c r="H293" s="7"/>
      <c r="I293" s="1"/>
      <c r="J293" s="9" t="str">
        <f t="shared" si="4"/>
        <v/>
      </c>
      <c r="K293" s="1"/>
      <c r="L293" s="1"/>
    </row>
    <row r="294" spans="1:12" ht="16.8" x14ac:dyDescent="0.4">
      <c r="A294" s="1"/>
      <c r="B294" s="6"/>
      <c r="C294" s="7"/>
      <c r="D294" s="7"/>
      <c r="E294" s="7"/>
      <c r="F294" s="8"/>
      <c r="G294" s="1"/>
      <c r="H294" s="7"/>
      <c r="I294" s="1"/>
      <c r="J294" s="9" t="str">
        <f t="shared" si="4"/>
        <v/>
      </c>
      <c r="K294" s="1"/>
      <c r="L294" s="1"/>
    </row>
    <row r="295" spans="1:12" ht="16.8" x14ac:dyDescent="0.4">
      <c r="A295" s="1"/>
      <c r="B295" s="6"/>
      <c r="C295" s="7"/>
      <c r="D295" s="7"/>
      <c r="E295" s="7"/>
      <c r="F295" s="8"/>
      <c r="G295" s="1"/>
      <c r="H295" s="7"/>
      <c r="I295" s="1"/>
      <c r="J295" s="9" t="str">
        <f t="shared" si="4"/>
        <v/>
      </c>
      <c r="K295" s="1"/>
      <c r="L295" s="1"/>
    </row>
    <row r="296" spans="1:12" ht="16.8" x14ac:dyDescent="0.4">
      <c r="A296" s="1"/>
      <c r="B296" s="6"/>
      <c r="C296" s="7"/>
      <c r="D296" s="7"/>
      <c r="E296" s="7"/>
      <c r="F296" s="8"/>
      <c r="G296" s="1"/>
      <c r="H296" s="7"/>
      <c r="I296" s="1"/>
      <c r="J296" s="9" t="str">
        <f t="shared" si="4"/>
        <v/>
      </c>
      <c r="K296" s="1"/>
      <c r="L296" s="1"/>
    </row>
    <row r="297" spans="1:12" ht="16.8" x14ac:dyDescent="0.4">
      <c r="A297" s="1"/>
      <c r="B297" s="6"/>
      <c r="C297" s="7"/>
      <c r="D297" s="7"/>
      <c r="E297" s="7"/>
      <c r="F297" s="8"/>
      <c r="G297" s="1"/>
      <c r="H297" s="7"/>
      <c r="I297" s="1"/>
      <c r="J297" s="9" t="str">
        <f t="shared" si="4"/>
        <v/>
      </c>
      <c r="K297" s="1"/>
      <c r="L297" s="1"/>
    </row>
    <row r="298" spans="1:12" ht="16.8" x14ac:dyDescent="0.4">
      <c r="A298" s="1"/>
      <c r="B298" s="6"/>
      <c r="C298" s="7"/>
      <c r="D298" s="7"/>
      <c r="E298" s="7"/>
      <c r="F298" s="8"/>
      <c r="G298" s="1"/>
      <c r="H298" s="7"/>
      <c r="I298" s="1"/>
      <c r="J298" s="9" t="str">
        <f t="shared" si="4"/>
        <v/>
      </c>
      <c r="K298" s="1"/>
      <c r="L298" s="1"/>
    </row>
    <row r="299" spans="1:12" ht="16.8" x14ac:dyDescent="0.4">
      <c r="A299" s="1"/>
      <c r="B299" s="6"/>
      <c r="C299" s="7"/>
      <c r="D299" s="7"/>
      <c r="E299" s="7"/>
      <c r="F299" s="8"/>
      <c r="G299" s="1"/>
      <c r="H299" s="7"/>
      <c r="I299" s="1"/>
      <c r="J299" s="9" t="str">
        <f t="shared" si="4"/>
        <v/>
      </c>
      <c r="K299" s="1"/>
      <c r="L299" s="1"/>
    </row>
    <row r="300" spans="1:12" ht="16.8" x14ac:dyDescent="0.4">
      <c r="A300" s="1"/>
      <c r="B300" s="6"/>
      <c r="C300" s="7"/>
      <c r="D300" s="7"/>
      <c r="E300" s="7"/>
      <c r="F300" s="8"/>
      <c r="G300" s="1"/>
      <c r="H300" s="7"/>
      <c r="I300" s="1"/>
      <c r="J300" s="9" t="str">
        <f t="shared" si="4"/>
        <v/>
      </c>
      <c r="K300" s="1"/>
      <c r="L300" s="1"/>
    </row>
    <row r="301" spans="1:12" ht="16.8" x14ac:dyDescent="0.4">
      <c r="A301" s="1"/>
      <c r="B301" s="6"/>
      <c r="C301" s="7"/>
      <c r="D301" s="7"/>
      <c r="E301" s="7"/>
      <c r="F301" s="8"/>
      <c r="G301" s="1"/>
      <c r="H301" s="7"/>
      <c r="I301" s="1"/>
      <c r="J301" s="9" t="str">
        <f t="shared" si="4"/>
        <v/>
      </c>
      <c r="K301" s="1"/>
      <c r="L301" s="1"/>
    </row>
    <row r="302" spans="1:12" ht="16.8" x14ac:dyDescent="0.4">
      <c r="A302" s="1"/>
      <c r="B302" s="6"/>
      <c r="C302" s="7"/>
      <c r="D302" s="7"/>
      <c r="E302" s="7"/>
      <c r="F302" s="8"/>
      <c r="G302" s="1"/>
      <c r="H302" s="7"/>
      <c r="I302" s="1"/>
      <c r="J302" s="9" t="str">
        <f t="shared" si="4"/>
        <v/>
      </c>
      <c r="K302" s="1"/>
      <c r="L302" s="1"/>
    </row>
    <row r="303" spans="1:12" ht="16.8" x14ac:dyDescent="0.4">
      <c r="A303" s="1"/>
      <c r="B303" s="6"/>
      <c r="C303" s="7"/>
      <c r="D303" s="7"/>
      <c r="E303" s="7"/>
      <c r="F303" s="8"/>
      <c r="G303" s="1"/>
      <c r="H303" s="7"/>
      <c r="I303" s="1"/>
      <c r="J303" s="9" t="str">
        <f t="shared" si="4"/>
        <v/>
      </c>
      <c r="K303" s="1"/>
      <c r="L303" s="1"/>
    </row>
    <row r="304" spans="1:12" ht="16.8" x14ac:dyDescent="0.4">
      <c r="A304" s="1"/>
      <c r="B304" s="6"/>
      <c r="C304" s="7"/>
      <c r="D304" s="7"/>
      <c r="E304" s="7"/>
      <c r="F304" s="8"/>
      <c r="G304" s="1"/>
      <c r="H304" s="7"/>
      <c r="I304" s="1"/>
      <c r="J304" s="9" t="str">
        <f t="shared" si="4"/>
        <v/>
      </c>
      <c r="K304" s="1"/>
      <c r="L304" s="1"/>
    </row>
    <row r="305" spans="1:12" ht="16.8" x14ac:dyDescent="0.4">
      <c r="A305" s="1"/>
      <c r="B305" s="6"/>
      <c r="C305" s="7"/>
      <c r="D305" s="7"/>
      <c r="E305" s="7"/>
      <c r="F305" s="8"/>
      <c r="G305" s="1"/>
      <c r="H305" s="7"/>
      <c r="I305" s="1"/>
      <c r="J305" s="9" t="str">
        <f t="shared" si="4"/>
        <v/>
      </c>
      <c r="K305" s="1"/>
      <c r="L305" s="1"/>
    </row>
    <row r="306" spans="1:12" ht="16.8" x14ac:dyDescent="0.4">
      <c r="A306" s="1"/>
      <c r="B306" s="6"/>
      <c r="C306" s="7"/>
      <c r="D306" s="7"/>
      <c r="E306" s="7"/>
      <c r="F306" s="8"/>
      <c r="G306" s="1"/>
      <c r="H306" s="7"/>
      <c r="I306" s="1"/>
      <c r="J306" s="9" t="str">
        <f t="shared" si="4"/>
        <v/>
      </c>
      <c r="K306" s="1"/>
      <c r="L306" s="1"/>
    </row>
    <row r="307" spans="1:12" ht="16.8" x14ac:dyDescent="0.4">
      <c r="A307" s="1"/>
      <c r="B307" s="6"/>
      <c r="C307" s="7"/>
      <c r="D307" s="7"/>
      <c r="E307" s="7"/>
      <c r="F307" s="8"/>
      <c r="G307" s="1"/>
      <c r="H307" s="7"/>
      <c r="I307" s="1"/>
      <c r="J307" s="9" t="str">
        <f t="shared" si="4"/>
        <v/>
      </c>
      <c r="K307" s="1"/>
      <c r="L307" s="1"/>
    </row>
    <row r="308" spans="1:12" ht="16.8" x14ac:dyDescent="0.4">
      <c r="A308" s="1"/>
      <c r="B308" s="6"/>
      <c r="C308" s="7"/>
      <c r="D308" s="7"/>
      <c r="E308" s="7"/>
      <c r="F308" s="8"/>
      <c r="G308" s="1"/>
      <c r="H308" s="7"/>
      <c r="I308" s="1"/>
      <c r="J308" s="9" t="str">
        <f t="shared" si="4"/>
        <v/>
      </c>
      <c r="K308" s="1"/>
      <c r="L308" s="1"/>
    </row>
    <row r="309" spans="1:12" ht="16.8" x14ac:dyDescent="0.4">
      <c r="A309" s="1"/>
      <c r="B309" s="6"/>
      <c r="C309" s="7"/>
      <c r="D309" s="7"/>
      <c r="E309" s="7"/>
      <c r="F309" s="8"/>
      <c r="G309" s="1"/>
      <c r="H309" s="7"/>
      <c r="I309" s="1"/>
      <c r="J309" s="9" t="str">
        <f t="shared" si="4"/>
        <v/>
      </c>
      <c r="K309" s="1"/>
      <c r="L309" s="1"/>
    </row>
    <row r="310" spans="1:12" ht="16.8" x14ac:dyDescent="0.4">
      <c r="A310" s="1"/>
      <c r="B310" s="6"/>
      <c r="C310" s="7"/>
      <c r="D310" s="7"/>
      <c r="E310" s="7"/>
      <c r="F310" s="8"/>
      <c r="G310" s="1"/>
      <c r="H310" s="7"/>
      <c r="I310" s="1"/>
      <c r="J310" s="9" t="str">
        <f t="shared" si="4"/>
        <v/>
      </c>
      <c r="K310" s="1"/>
      <c r="L310" s="1"/>
    </row>
    <row r="311" spans="1:12" ht="16.8" x14ac:dyDescent="0.4">
      <c r="A311" s="1"/>
      <c r="B311" s="6"/>
      <c r="C311" s="7"/>
      <c r="D311" s="7"/>
      <c r="E311" s="7"/>
      <c r="F311" s="8"/>
      <c r="G311" s="1"/>
      <c r="H311" s="7"/>
      <c r="I311" s="1"/>
      <c r="J311" s="9" t="str">
        <f t="shared" si="4"/>
        <v/>
      </c>
      <c r="K311" s="1"/>
      <c r="L311" s="1"/>
    </row>
    <row r="312" spans="1:12" ht="16.8" x14ac:dyDescent="0.4">
      <c r="A312" s="1"/>
      <c r="B312" s="6"/>
      <c r="C312" s="7"/>
      <c r="D312" s="7"/>
      <c r="E312" s="7"/>
      <c r="F312" s="8"/>
      <c r="G312" s="1"/>
      <c r="H312" s="7"/>
      <c r="I312" s="1"/>
      <c r="J312" s="9" t="str">
        <f t="shared" si="4"/>
        <v/>
      </c>
      <c r="K312" s="1"/>
      <c r="L312" s="1"/>
    </row>
    <row r="313" spans="1:12" ht="16.8" x14ac:dyDescent="0.4">
      <c r="A313" s="1"/>
      <c r="B313" s="6"/>
      <c r="C313" s="7"/>
      <c r="D313" s="7"/>
      <c r="E313" s="7"/>
      <c r="F313" s="8"/>
      <c r="G313" s="1"/>
      <c r="H313" s="7"/>
      <c r="I313" s="1"/>
      <c r="J313" s="9" t="str">
        <f t="shared" si="4"/>
        <v/>
      </c>
      <c r="K313" s="1"/>
      <c r="L313" s="1"/>
    </row>
    <row r="314" spans="1:12" ht="16.8" x14ac:dyDescent="0.4">
      <c r="A314" s="1"/>
      <c r="B314" s="6"/>
      <c r="C314" s="7"/>
      <c r="D314" s="7"/>
      <c r="E314" s="7"/>
      <c r="F314" s="8"/>
      <c r="G314" s="1"/>
      <c r="H314" s="7"/>
      <c r="I314" s="1"/>
      <c r="J314" s="9" t="str">
        <f t="shared" si="4"/>
        <v/>
      </c>
      <c r="K314" s="1"/>
      <c r="L314" s="1"/>
    </row>
    <row r="315" spans="1:12" ht="16.8" x14ac:dyDescent="0.4">
      <c r="A315" s="1"/>
      <c r="B315" s="6"/>
      <c r="C315" s="7"/>
      <c r="D315" s="7"/>
      <c r="E315" s="7"/>
      <c r="F315" s="8"/>
      <c r="G315" s="1"/>
      <c r="H315" s="7"/>
      <c r="I315" s="1"/>
      <c r="J315" s="9" t="str">
        <f t="shared" si="4"/>
        <v/>
      </c>
      <c r="K315" s="1"/>
      <c r="L315" s="1"/>
    </row>
    <row r="316" spans="1:12" ht="16.8" x14ac:dyDescent="0.4">
      <c r="A316" s="1"/>
      <c r="B316" s="6"/>
      <c r="C316" s="7"/>
      <c r="D316" s="7"/>
      <c r="E316" s="7"/>
      <c r="F316" s="8"/>
      <c r="G316" s="1"/>
      <c r="H316" s="7"/>
      <c r="I316" s="1"/>
      <c r="J316" s="9" t="str">
        <f t="shared" si="4"/>
        <v/>
      </c>
      <c r="K316" s="1"/>
      <c r="L316" s="1"/>
    </row>
    <row r="317" spans="1:12" ht="16.8" x14ac:dyDescent="0.4">
      <c r="A317" s="1"/>
      <c r="B317" s="6"/>
      <c r="C317" s="7"/>
      <c r="D317" s="7"/>
      <c r="E317" s="7"/>
      <c r="F317" s="8"/>
      <c r="G317" s="1"/>
      <c r="H317" s="7"/>
      <c r="I317" s="1"/>
      <c r="J317" s="9" t="str">
        <f t="shared" si="4"/>
        <v/>
      </c>
      <c r="K317" s="1"/>
      <c r="L317" s="1"/>
    </row>
    <row r="318" spans="1:12" ht="16.8" x14ac:dyDescent="0.4">
      <c r="A318" s="1"/>
      <c r="B318" s="6"/>
      <c r="C318" s="7"/>
      <c r="D318" s="7"/>
      <c r="E318" s="7"/>
      <c r="F318" s="8"/>
      <c r="G318" s="1"/>
      <c r="H318" s="7"/>
      <c r="I318" s="1"/>
      <c r="J318" s="9" t="str">
        <f t="shared" si="4"/>
        <v/>
      </c>
      <c r="K318" s="1"/>
      <c r="L318" s="1"/>
    </row>
    <row r="319" spans="1:12" ht="16.8" x14ac:dyDescent="0.4">
      <c r="A319" s="1"/>
      <c r="B319" s="6"/>
      <c r="C319" s="7"/>
      <c r="D319" s="7"/>
      <c r="E319" s="7"/>
      <c r="F319" s="8"/>
      <c r="G319" s="1"/>
      <c r="H319" s="7"/>
      <c r="I319" s="1"/>
      <c r="J319" s="9" t="str">
        <f t="shared" si="4"/>
        <v/>
      </c>
      <c r="K319" s="1"/>
      <c r="L319" s="1"/>
    </row>
    <row r="320" spans="1:12" ht="16.8" x14ac:dyDescent="0.4">
      <c r="A320" s="1"/>
      <c r="B320" s="6"/>
      <c r="C320" s="7"/>
      <c r="D320" s="7"/>
      <c r="E320" s="7"/>
      <c r="F320" s="8"/>
      <c r="G320" s="1"/>
      <c r="H320" s="7"/>
      <c r="I320" s="1"/>
      <c r="J320" s="9" t="str">
        <f t="shared" si="4"/>
        <v/>
      </c>
      <c r="K320" s="1"/>
      <c r="L320" s="1"/>
    </row>
    <row r="321" spans="1:12" ht="16.8" x14ac:dyDescent="0.4">
      <c r="A321" s="1"/>
      <c r="B321" s="6"/>
      <c r="C321" s="7"/>
      <c r="D321" s="7"/>
      <c r="E321" s="7"/>
      <c r="F321" s="8"/>
      <c r="G321" s="1"/>
      <c r="H321" s="7"/>
      <c r="I321" s="1"/>
      <c r="J321" s="9" t="str">
        <f t="shared" si="4"/>
        <v/>
      </c>
      <c r="K321" s="1"/>
      <c r="L321" s="1"/>
    </row>
    <row r="322" spans="1:12" ht="16.8" x14ac:dyDescent="0.4">
      <c r="A322" s="1"/>
      <c r="B322" s="6"/>
      <c r="C322" s="7"/>
      <c r="D322" s="7"/>
      <c r="E322" s="7"/>
      <c r="F322" s="8"/>
      <c r="G322" s="1"/>
      <c r="H322" s="7"/>
      <c r="I322" s="1"/>
      <c r="J322" s="9" t="str">
        <f t="shared" si="4"/>
        <v/>
      </c>
      <c r="K322" s="1"/>
      <c r="L322" s="1"/>
    </row>
    <row r="323" spans="1:12" ht="16.8" x14ac:dyDescent="0.4">
      <c r="A323" s="1"/>
      <c r="B323" s="6"/>
      <c r="C323" s="7"/>
      <c r="D323" s="7"/>
      <c r="E323" s="7"/>
      <c r="F323" s="8"/>
      <c r="G323" s="1"/>
      <c r="H323" s="7"/>
      <c r="I323" s="1"/>
      <c r="J323" s="9" t="str">
        <f t="shared" si="4"/>
        <v/>
      </c>
      <c r="K323" s="1"/>
      <c r="L323" s="1"/>
    </row>
    <row r="324" spans="1:12" ht="16.8" x14ac:dyDescent="0.4">
      <c r="A324" s="1"/>
      <c r="B324" s="6"/>
      <c r="C324" s="7"/>
      <c r="D324" s="7"/>
      <c r="E324" s="7"/>
      <c r="F324" s="8"/>
      <c r="G324" s="1"/>
      <c r="H324" s="7"/>
      <c r="I324" s="1"/>
      <c r="J324" s="9" t="str">
        <f t="shared" si="4"/>
        <v/>
      </c>
      <c r="K324" s="1"/>
      <c r="L324" s="1"/>
    </row>
    <row r="325" spans="1:12" ht="16.8" x14ac:dyDescent="0.4">
      <c r="A325" s="1"/>
      <c r="B325" s="6"/>
      <c r="C325" s="7"/>
      <c r="D325" s="7"/>
      <c r="E325" s="7"/>
      <c r="F325" s="8"/>
      <c r="G325" s="1"/>
      <c r="H325" s="7"/>
      <c r="I325" s="1"/>
      <c r="J325" s="9" t="str">
        <f t="shared" si="4"/>
        <v/>
      </c>
      <c r="K325" s="1"/>
      <c r="L325" s="1"/>
    </row>
    <row r="326" spans="1:12" ht="16.8" x14ac:dyDescent="0.4">
      <c r="A326" s="1"/>
      <c r="B326" s="6"/>
      <c r="C326" s="7"/>
      <c r="D326" s="7"/>
      <c r="E326" s="7"/>
      <c r="F326" s="8"/>
      <c r="G326" s="1"/>
      <c r="H326" s="7"/>
      <c r="I326" s="1"/>
      <c r="J326" s="9" t="str">
        <f t="shared" si="4"/>
        <v/>
      </c>
      <c r="K326" s="1"/>
      <c r="L326" s="1"/>
    </row>
    <row r="327" spans="1:12" ht="16.8" x14ac:dyDescent="0.4">
      <c r="A327" s="1"/>
      <c r="B327" s="6"/>
      <c r="C327" s="7"/>
      <c r="D327" s="7"/>
      <c r="E327" s="7"/>
      <c r="F327" s="8"/>
      <c r="G327" s="1"/>
      <c r="H327" s="7"/>
      <c r="I327" s="1"/>
      <c r="J327" s="9" t="str">
        <f t="shared" ref="J327:J390" si="5">IF($B327="","",TEXT($B327,"yyyy-mm"))</f>
        <v/>
      </c>
      <c r="K327" s="1"/>
      <c r="L327" s="1"/>
    </row>
    <row r="328" spans="1:12" ht="16.8" x14ac:dyDescent="0.4">
      <c r="A328" s="1"/>
      <c r="B328" s="6"/>
      <c r="C328" s="7"/>
      <c r="D328" s="7"/>
      <c r="E328" s="7"/>
      <c r="F328" s="8"/>
      <c r="G328" s="1"/>
      <c r="H328" s="7"/>
      <c r="I328" s="1"/>
      <c r="J328" s="9" t="str">
        <f t="shared" si="5"/>
        <v/>
      </c>
      <c r="K328" s="1"/>
      <c r="L328" s="1"/>
    </row>
    <row r="329" spans="1:12" ht="16.8" x14ac:dyDescent="0.4">
      <c r="A329" s="1"/>
      <c r="B329" s="6"/>
      <c r="C329" s="7"/>
      <c r="D329" s="7"/>
      <c r="E329" s="7"/>
      <c r="F329" s="8"/>
      <c r="G329" s="1"/>
      <c r="H329" s="7"/>
      <c r="I329" s="1"/>
      <c r="J329" s="9" t="str">
        <f t="shared" si="5"/>
        <v/>
      </c>
      <c r="K329" s="1"/>
      <c r="L329" s="1"/>
    </row>
    <row r="330" spans="1:12" ht="16.8" x14ac:dyDescent="0.4">
      <c r="A330" s="1"/>
      <c r="B330" s="6"/>
      <c r="C330" s="7"/>
      <c r="D330" s="7"/>
      <c r="E330" s="7"/>
      <c r="F330" s="8"/>
      <c r="G330" s="1"/>
      <c r="H330" s="7"/>
      <c r="I330" s="1"/>
      <c r="J330" s="9" t="str">
        <f t="shared" si="5"/>
        <v/>
      </c>
      <c r="K330" s="1"/>
      <c r="L330" s="1"/>
    </row>
    <row r="331" spans="1:12" ht="16.8" x14ac:dyDescent="0.4">
      <c r="A331" s="1"/>
      <c r="B331" s="6"/>
      <c r="C331" s="7"/>
      <c r="D331" s="7"/>
      <c r="E331" s="7"/>
      <c r="F331" s="8"/>
      <c r="G331" s="1"/>
      <c r="H331" s="7"/>
      <c r="I331" s="1"/>
      <c r="J331" s="9" t="str">
        <f t="shared" si="5"/>
        <v/>
      </c>
      <c r="K331" s="1"/>
      <c r="L331" s="1"/>
    </row>
    <row r="332" spans="1:12" ht="16.8" x14ac:dyDescent="0.4">
      <c r="A332" s="1"/>
      <c r="B332" s="6"/>
      <c r="C332" s="7"/>
      <c r="D332" s="7"/>
      <c r="E332" s="7"/>
      <c r="F332" s="8"/>
      <c r="G332" s="1"/>
      <c r="H332" s="7"/>
      <c r="I332" s="1"/>
      <c r="J332" s="9" t="str">
        <f t="shared" si="5"/>
        <v/>
      </c>
      <c r="K332" s="1"/>
      <c r="L332" s="1"/>
    </row>
    <row r="333" spans="1:12" ht="16.8" x14ac:dyDescent="0.4">
      <c r="A333" s="1"/>
      <c r="B333" s="6"/>
      <c r="C333" s="7"/>
      <c r="D333" s="7"/>
      <c r="E333" s="7"/>
      <c r="F333" s="8"/>
      <c r="G333" s="1"/>
      <c r="H333" s="7"/>
      <c r="I333" s="1"/>
      <c r="J333" s="9" t="str">
        <f t="shared" si="5"/>
        <v/>
      </c>
      <c r="K333" s="1"/>
      <c r="L333" s="1"/>
    </row>
    <row r="334" spans="1:12" ht="16.8" x14ac:dyDescent="0.4">
      <c r="A334" s="1"/>
      <c r="B334" s="6"/>
      <c r="C334" s="7"/>
      <c r="D334" s="7"/>
      <c r="E334" s="7"/>
      <c r="F334" s="8"/>
      <c r="G334" s="1"/>
      <c r="H334" s="7"/>
      <c r="I334" s="1"/>
      <c r="J334" s="9" t="str">
        <f t="shared" si="5"/>
        <v/>
      </c>
      <c r="K334" s="1"/>
      <c r="L334" s="1"/>
    </row>
    <row r="335" spans="1:12" ht="16.8" x14ac:dyDescent="0.4">
      <c r="A335" s="1"/>
      <c r="B335" s="6"/>
      <c r="C335" s="7"/>
      <c r="D335" s="7"/>
      <c r="E335" s="7"/>
      <c r="F335" s="8"/>
      <c r="G335" s="1"/>
      <c r="H335" s="7"/>
      <c r="I335" s="1"/>
      <c r="J335" s="9" t="str">
        <f t="shared" si="5"/>
        <v/>
      </c>
      <c r="K335" s="1"/>
      <c r="L335" s="1"/>
    </row>
    <row r="336" spans="1:12" ht="16.8" x14ac:dyDescent="0.4">
      <c r="A336" s="1"/>
      <c r="B336" s="6"/>
      <c r="C336" s="7"/>
      <c r="D336" s="7"/>
      <c r="E336" s="7"/>
      <c r="F336" s="8"/>
      <c r="G336" s="1"/>
      <c r="H336" s="7"/>
      <c r="I336" s="1"/>
      <c r="J336" s="9" t="str">
        <f t="shared" si="5"/>
        <v/>
      </c>
      <c r="K336" s="1"/>
      <c r="L336" s="1"/>
    </row>
    <row r="337" spans="1:12" ht="16.8" x14ac:dyDescent="0.4">
      <c r="A337" s="1"/>
      <c r="B337" s="6"/>
      <c r="C337" s="7"/>
      <c r="D337" s="7"/>
      <c r="E337" s="7"/>
      <c r="F337" s="8"/>
      <c r="G337" s="1"/>
      <c r="H337" s="7"/>
      <c r="I337" s="1"/>
      <c r="J337" s="9" t="str">
        <f t="shared" si="5"/>
        <v/>
      </c>
      <c r="K337" s="1"/>
      <c r="L337" s="1"/>
    </row>
    <row r="338" spans="1:12" ht="16.8" x14ac:dyDescent="0.4">
      <c r="A338" s="1"/>
      <c r="B338" s="6"/>
      <c r="C338" s="7"/>
      <c r="D338" s="7"/>
      <c r="E338" s="7"/>
      <c r="F338" s="8"/>
      <c r="G338" s="1"/>
      <c r="H338" s="7"/>
      <c r="I338" s="1"/>
      <c r="J338" s="9" t="str">
        <f t="shared" si="5"/>
        <v/>
      </c>
      <c r="K338" s="1"/>
      <c r="L338" s="1"/>
    </row>
    <row r="339" spans="1:12" ht="16.8" x14ac:dyDescent="0.4">
      <c r="A339" s="1"/>
      <c r="B339" s="6"/>
      <c r="C339" s="7"/>
      <c r="D339" s="7"/>
      <c r="E339" s="7"/>
      <c r="F339" s="8"/>
      <c r="G339" s="1"/>
      <c r="H339" s="7"/>
      <c r="I339" s="1"/>
      <c r="J339" s="9" t="str">
        <f t="shared" si="5"/>
        <v/>
      </c>
      <c r="K339" s="1"/>
      <c r="L339" s="1"/>
    </row>
    <row r="340" spans="1:12" ht="16.8" x14ac:dyDescent="0.4">
      <c r="A340" s="1"/>
      <c r="B340" s="6"/>
      <c r="C340" s="7"/>
      <c r="D340" s="7"/>
      <c r="E340" s="7"/>
      <c r="F340" s="8"/>
      <c r="G340" s="1"/>
      <c r="H340" s="7"/>
      <c r="I340" s="1"/>
      <c r="J340" s="9" t="str">
        <f t="shared" si="5"/>
        <v/>
      </c>
      <c r="K340" s="1"/>
      <c r="L340" s="1"/>
    </row>
    <row r="341" spans="1:12" ht="16.8" x14ac:dyDescent="0.4">
      <c r="A341" s="1"/>
      <c r="B341" s="6"/>
      <c r="C341" s="7"/>
      <c r="D341" s="7"/>
      <c r="E341" s="7"/>
      <c r="F341" s="8"/>
      <c r="G341" s="1"/>
      <c r="H341" s="7"/>
      <c r="I341" s="1"/>
      <c r="J341" s="9" t="str">
        <f t="shared" si="5"/>
        <v/>
      </c>
      <c r="K341" s="1"/>
      <c r="L341" s="1"/>
    </row>
    <row r="342" spans="1:12" ht="16.8" x14ac:dyDescent="0.4">
      <c r="A342" s="1"/>
      <c r="B342" s="6"/>
      <c r="C342" s="7"/>
      <c r="D342" s="7"/>
      <c r="E342" s="7"/>
      <c r="F342" s="8"/>
      <c r="G342" s="1"/>
      <c r="H342" s="7"/>
      <c r="I342" s="1"/>
      <c r="J342" s="9" t="str">
        <f t="shared" si="5"/>
        <v/>
      </c>
      <c r="K342" s="1"/>
      <c r="L342" s="1"/>
    </row>
    <row r="343" spans="1:12" ht="16.8" x14ac:dyDescent="0.4">
      <c r="A343" s="1"/>
      <c r="B343" s="6"/>
      <c r="C343" s="7"/>
      <c r="D343" s="7"/>
      <c r="E343" s="7"/>
      <c r="F343" s="8"/>
      <c r="G343" s="1"/>
      <c r="H343" s="7"/>
      <c r="I343" s="1"/>
      <c r="J343" s="9" t="str">
        <f t="shared" si="5"/>
        <v/>
      </c>
      <c r="K343" s="1"/>
      <c r="L343" s="1"/>
    </row>
    <row r="344" spans="1:12" ht="16.8" x14ac:dyDescent="0.4">
      <c r="A344" s="1"/>
      <c r="B344" s="6"/>
      <c r="C344" s="7"/>
      <c r="D344" s="7"/>
      <c r="E344" s="7"/>
      <c r="F344" s="8"/>
      <c r="G344" s="1"/>
      <c r="H344" s="7"/>
      <c r="I344" s="1"/>
      <c r="J344" s="9" t="str">
        <f t="shared" si="5"/>
        <v/>
      </c>
      <c r="K344" s="1"/>
      <c r="L344" s="1"/>
    </row>
    <row r="345" spans="1:12" ht="16.8" x14ac:dyDescent="0.4">
      <c r="A345" s="1"/>
      <c r="B345" s="6"/>
      <c r="C345" s="7"/>
      <c r="D345" s="7"/>
      <c r="E345" s="7"/>
      <c r="F345" s="8"/>
      <c r="G345" s="1"/>
      <c r="H345" s="7"/>
      <c r="I345" s="1"/>
      <c r="J345" s="9" t="str">
        <f t="shared" si="5"/>
        <v/>
      </c>
      <c r="K345" s="1"/>
      <c r="L345" s="1"/>
    </row>
    <row r="346" spans="1:12" ht="16.8" x14ac:dyDescent="0.4">
      <c r="A346" s="1"/>
      <c r="B346" s="6"/>
      <c r="C346" s="7"/>
      <c r="D346" s="7"/>
      <c r="E346" s="7"/>
      <c r="F346" s="8"/>
      <c r="G346" s="1"/>
      <c r="H346" s="7"/>
      <c r="I346" s="1"/>
      <c r="J346" s="9" t="str">
        <f t="shared" si="5"/>
        <v/>
      </c>
      <c r="K346" s="1"/>
      <c r="L346" s="1"/>
    </row>
    <row r="347" spans="1:12" ht="16.8" x14ac:dyDescent="0.4">
      <c r="A347" s="1"/>
      <c r="B347" s="6"/>
      <c r="C347" s="7"/>
      <c r="D347" s="7"/>
      <c r="E347" s="7"/>
      <c r="F347" s="8"/>
      <c r="G347" s="1"/>
      <c r="H347" s="7"/>
      <c r="I347" s="1"/>
      <c r="J347" s="9" t="str">
        <f t="shared" si="5"/>
        <v/>
      </c>
      <c r="K347" s="1"/>
      <c r="L347" s="1"/>
    </row>
    <row r="348" spans="1:12" ht="16.8" x14ac:dyDescent="0.4">
      <c r="A348" s="1"/>
      <c r="B348" s="6"/>
      <c r="C348" s="7"/>
      <c r="D348" s="7"/>
      <c r="E348" s="7"/>
      <c r="F348" s="8"/>
      <c r="G348" s="1"/>
      <c r="H348" s="7"/>
      <c r="I348" s="1"/>
      <c r="J348" s="9" t="str">
        <f t="shared" si="5"/>
        <v/>
      </c>
      <c r="K348" s="1"/>
      <c r="L348" s="1"/>
    </row>
    <row r="349" spans="1:12" ht="16.8" x14ac:dyDescent="0.4">
      <c r="A349" s="1"/>
      <c r="B349" s="6"/>
      <c r="C349" s="7"/>
      <c r="D349" s="7"/>
      <c r="E349" s="7"/>
      <c r="F349" s="8"/>
      <c r="G349" s="1"/>
      <c r="H349" s="7"/>
      <c r="I349" s="1"/>
      <c r="J349" s="9" t="str">
        <f t="shared" si="5"/>
        <v/>
      </c>
      <c r="K349" s="1"/>
      <c r="L349" s="1"/>
    </row>
    <row r="350" spans="1:12" ht="16.8" x14ac:dyDescent="0.4">
      <c r="A350" s="1"/>
      <c r="B350" s="6"/>
      <c r="C350" s="7"/>
      <c r="D350" s="7"/>
      <c r="E350" s="7"/>
      <c r="F350" s="8"/>
      <c r="G350" s="1"/>
      <c r="H350" s="7"/>
      <c r="I350" s="1"/>
      <c r="J350" s="9" t="str">
        <f t="shared" si="5"/>
        <v/>
      </c>
      <c r="K350" s="1"/>
      <c r="L350" s="1"/>
    </row>
    <row r="351" spans="1:12" ht="16.8" x14ac:dyDescent="0.4">
      <c r="A351" s="1"/>
      <c r="B351" s="6"/>
      <c r="C351" s="7"/>
      <c r="D351" s="7"/>
      <c r="E351" s="7"/>
      <c r="F351" s="8"/>
      <c r="G351" s="1"/>
      <c r="H351" s="7"/>
      <c r="I351" s="1"/>
      <c r="J351" s="9" t="str">
        <f t="shared" si="5"/>
        <v/>
      </c>
      <c r="K351" s="1"/>
      <c r="L351" s="1"/>
    </row>
    <row r="352" spans="1:12" ht="16.8" x14ac:dyDescent="0.4">
      <c r="A352" s="1"/>
      <c r="B352" s="6"/>
      <c r="C352" s="7"/>
      <c r="D352" s="7"/>
      <c r="E352" s="7"/>
      <c r="F352" s="8"/>
      <c r="G352" s="1"/>
      <c r="H352" s="7"/>
      <c r="I352" s="1"/>
      <c r="J352" s="9" t="str">
        <f t="shared" si="5"/>
        <v/>
      </c>
      <c r="K352" s="1"/>
      <c r="L352" s="1"/>
    </row>
    <row r="353" spans="1:12" ht="16.8" x14ac:dyDescent="0.4">
      <c r="A353" s="1"/>
      <c r="B353" s="6"/>
      <c r="C353" s="7"/>
      <c r="D353" s="7"/>
      <c r="E353" s="7"/>
      <c r="F353" s="8"/>
      <c r="G353" s="1"/>
      <c r="H353" s="7"/>
      <c r="I353" s="1"/>
      <c r="J353" s="9" t="str">
        <f t="shared" si="5"/>
        <v/>
      </c>
      <c r="K353" s="1"/>
      <c r="L353" s="1"/>
    </row>
    <row r="354" spans="1:12" ht="16.8" x14ac:dyDescent="0.4">
      <c r="A354" s="1"/>
      <c r="B354" s="6"/>
      <c r="C354" s="7"/>
      <c r="D354" s="7"/>
      <c r="E354" s="7"/>
      <c r="F354" s="8"/>
      <c r="G354" s="1"/>
      <c r="H354" s="7"/>
      <c r="I354" s="1"/>
      <c r="J354" s="9" t="str">
        <f t="shared" si="5"/>
        <v/>
      </c>
      <c r="K354" s="1"/>
      <c r="L354" s="1"/>
    </row>
    <row r="355" spans="1:12" ht="16.8" x14ac:dyDescent="0.4">
      <c r="A355" s="1"/>
      <c r="B355" s="6"/>
      <c r="C355" s="7"/>
      <c r="D355" s="7"/>
      <c r="E355" s="7"/>
      <c r="F355" s="8"/>
      <c r="G355" s="1"/>
      <c r="H355" s="7"/>
      <c r="I355" s="1"/>
      <c r="J355" s="9" t="str">
        <f t="shared" si="5"/>
        <v/>
      </c>
      <c r="K355" s="1"/>
      <c r="L355" s="1"/>
    </row>
    <row r="356" spans="1:12" ht="16.8" x14ac:dyDescent="0.4">
      <c r="A356" s="1"/>
      <c r="B356" s="6"/>
      <c r="C356" s="7"/>
      <c r="D356" s="7"/>
      <c r="E356" s="7"/>
      <c r="F356" s="8"/>
      <c r="G356" s="1"/>
      <c r="H356" s="7"/>
      <c r="I356" s="1"/>
      <c r="J356" s="9" t="str">
        <f t="shared" si="5"/>
        <v/>
      </c>
      <c r="K356" s="1"/>
      <c r="L356" s="1"/>
    </row>
    <row r="357" spans="1:12" ht="16.8" x14ac:dyDescent="0.4">
      <c r="A357" s="1"/>
      <c r="B357" s="6"/>
      <c r="C357" s="7"/>
      <c r="D357" s="7"/>
      <c r="E357" s="7"/>
      <c r="F357" s="8"/>
      <c r="G357" s="1"/>
      <c r="H357" s="7"/>
      <c r="I357" s="1"/>
      <c r="J357" s="9" t="str">
        <f t="shared" si="5"/>
        <v/>
      </c>
      <c r="K357" s="1"/>
      <c r="L357" s="1"/>
    </row>
    <row r="358" spans="1:12" ht="16.8" x14ac:dyDescent="0.4">
      <c r="A358" s="1"/>
      <c r="B358" s="6"/>
      <c r="C358" s="7"/>
      <c r="D358" s="7"/>
      <c r="E358" s="7"/>
      <c r="F358" s="8"/>
      <c r="G358" s="1"/>
      <c r="H358" s="7"/>
      <c r="I358" s="1"/>
      <c r="J358" s="9" t="str">
        <f t="shared" si="5"/>
        <v/>
      </c>
      <c r="K358" s="1"/>
      <c r="L358" s="1"/>
    </row>
    <row r="359" spans="1:12" ht="16.8" x14ac:dyDescent="0.4">
      <c r="A359" s="1"/>
      <c r="B359" s="6"/>
      <c r="C359" s="7"/>
      <c r="D359" s="7"/>
      <c r="E359" s="7"/>
      <c r="F359" s="8"/>
      <c r="G359" s="1"/>
      <c r="H359" s="7"/>
      <c r="I359" s="1"/>
      <c r="J359" s="9" t="str">
        <f t="shared" si="5"/>
        <v/>
      </c>
      <c r="K359" s="1"/>
      <c r="L359" s="1"/>
    </row>
    <row r="360" spans="1:12" ht="16.8" x14ac:dyDescent="0.4">
      <c r="A360" s="1"/>
      <c r="B360" s="6"/>
      <c r="C360" s="7"/>
      <c r="D360" s="7"/>
      <c r="E360" s="7"/>
      <c r="F360" s="8"/>
      <c r="G360" s="1"/>
      <c r="H360" s="7"/>
      <c r="I360" s="1"/>
      <c r="J360" s="9" t="str">
        <f t="shared" si="5"/>
        <v/>
      </c>
      <c r="K360" s="1"/>
      <c r="L360" s="1"/>
    </row>
    <row r="361" spans="1:12" ht="16.8" x14ac:dyDescent="0.4">
      <c r="A361" s="1"/>
      <c r="B361" s="6"/>
      <c r="C361" s="7"/>
      <c r="D361" s="7"/>
      <c r="E361" s="7"/>
      <c r="F361" s="8"/>
      <c r="G361" s="1"/>
      <c r="H361" s="7"/>
      <c r="I361" s="1"/>
      <c r="J361" s="9" t="str">
        <f t="shared" si="5"/>
        <v/>
      </c>
      <c r="K361" s="1"/>
      <c r="L361" s="1"/>
    </row>
    <row r="362" spans="1:12" ht="16.8" x14ac:dyDescent="0.4">
      <c r="A362" s="1"/>
      <c r="B362" s="6"/>
      <c r="C362" s="7"/>
      <c r="D362" s="7"/>
      <c r="E362" s="7"/>
      <c r="F362" s="8"/>
      <c r="G362" s="1"/>
      <c r="H362" s="7"/>
      <c r="I362" s="1"/>
      <c r="J362" s="9" t="str">
        <f t="shared" si="5"/>
        <v/>
      </c>
      <c r="K362" s="1"/>
      <c r="L362" s="1"/>
    </row>
    <row r="363" spans="1:12" ht="16.8" x14ac:dyDescent="0.4">
      <c r="A363" s="1"/>
      <c r="B363" s="6"/>
      <c r="C363" s="7"/>
      <c r="D363" s="7"/>
      <c r="E363" s="7"/>
      <c r="F363" s="8"/>
      <c r="G363" s="1"/>
      <c r="H363" s="7"/>
      <c r="I363" s="1"/>
      <c r="J363" s="9" t="str">
        <f t="shared" si="5"/>
        <v/>
      </c>
      <c r="K363" s="1"/>
      <c r="L363" s="1"/>
    </row>
    <row r="364" spans="1:12" ht="16.8" x14ac:dyDescent="0.4">
      <c r="A364" s="1"/>
      <c r="B364" s="6"/>
      <c r="C364" s="7"/>
      <c r="D364" s="7"/>
      <c r="E364" s="7"/>
      <c r="F364" s="8"/>
      <c r="G364" s="1"/>
      <c r="H364" s="7"/>
      <c r="I364" s="1"/>
      <c r="J364" s="9" t="str">
        <f t="shared" si="5"/>
        <v/>
      </c>
      <c r="K364" s="1"/>
      <c r="L364" s="1"/>
    </row>
    <row r="365" spans="1:12" ht="16.8" x14ac:dyDescent="0.4">
      <c r="A365" s="1"/>
      <c r="B365" s="6"/>
      <c r="C365" s="7"/>
      <c r="D365" s="7"/>
      <c r="E365" s="7"/>
      <c r="F365" s="8"/>
      <c r="G365" s="1"/>
      <c r="H365" s="7"/>
      <c r="I365" s="1"/>
      <c r="J365" s="9" t="str">
        <f t="shared" si="5"/>
        <v/>
      </c>
      <c r="K365" s="1"/>
      <c r="L365" s="1"/>
    </row>
    <row r="366" spans="1:12" ht="16.8" x14ac:dyDescent="0.4">
      <c r="A366" s="1"/>
      <c r="B366" s="6"/>
      <c r="C366" s="7"/>
      <c r="D366" s="7"/>
      <c r="E366" s="7"/>
      <c r="F366" s="8"/>
      <c r="G366" s="1"/>
      <c r="H366" s="7"/>
      <c r="I366" s="1"/>
      <c r="J366" s="9" t="str">
        <f t="shared" si="5"/>
        <v/>
      </c>
      <c r="K366" s="1"/>
      <c r="L366" s="1"/>
    </row>
    <row r="367" spans="1:12" ht="16.8" x14ac:dyDescent="0.4">
      <c r="A367" s="1"/>
      <c r="B367" s="6"/>
      <c r="C367" s="7"/>
      <c r="D367" s="7"/>
      <c r="E367" s="7"/>
      <c r="F367" s="8"/>
      <c r="G367" s="1"/>
      <c r="H367" s="7"/>
      <c r="I367" s="1"/>
      <c r="J367" s="9" t="str">
        <f t="shared" si="5"/>
        <v/>
      </c>
      <c r="K367" s="1"/>
      <c r="L367" s="1"/>
    </row>
    <row r="368" spans="1:12" ht="16.8" x14ac:dyDescent="0.4">
      <c r="A368" s="1"/>
      <c r="B368" s="6"/>
      <c r="C368" s="7"/>
      <c r="D368" s="7"/>
      <c r="E368" s="7"/>
      <c r="F368" s="8"/>
      <c r="G368" s="1"/>
      <c r="H368" s="7"/>
      <c r="I368" s="1"/>
      <c r="J368" s="9" t="str">
        <f t="shared" si="5"/>
        <v/>
      </c>
      <c r="K368" s="1"/>
      <c r="L368" s="1"/>
    </row>
    <row r="369" spans="1:12" ht="16.8" x14ac:dyDescent="0.4">
      <c r="A369" s="1"/>
      <c r="B369" s="6"/>
      <c r="C369" s="7"/>
      <c r="D369" s="7"/>
      <c r="E369" s="7"/>
      <c r="F369" s="8"/>
      <c r="G369" s="1"/>
      <c r="H369" s="7"/>
      <c r="I369" s="1"/>
      <c r="J369" s="9" t="str">
        <f t="shared" si="5"/>
        <v/>
      </c>
      <c r="K369" s="1"/>
      <c r="L369" s="1"/>
    </row>
    <row r="370" spans="1:12" ht="16.8" x14ac:dyDescent="0.4">
      <c r="A370" s="1"/>
      <c r="B370" s="6"/>
      <c r="C370" s="7"/>
      <c r="D370" s="7"/>
      <c r="E370" s="7"/>
      <c r="F370" s="8"/>
      <c r="G370" s="1"/>
      <c r="H370" s="7"/>
      <c r="I370" s="1"/>
      <c r="J370" s="9" t="str">
        <f t="shared" si="5"/>
        <v/>
      </c>
      <c r="K370" s="1"/>
      <c r="L370" s="1"/>
    </row>
    <row r="371" spans="1:12" ht="16.8" x14ac:dyDescent="0.4">
      <c r="A371" s="1"/>
      <c r="B371" s="6"/>
      <c r="C371" s="7"/>
      <c r="D371" s="7"/>
      <c r="E371" s="7"/>
      <c r="F371" s="8"/>
      <c r="G371" s="1"/>
      <c r="H371" s="7"/>
      <c r="I371" s="1"/>
      <c r="J371" s="9" t="str">
        <f t="shared" si="5"/>
        <v/>
      </c>
      <c r="K371" s="1"/>
      <c r="L371" s="1"/>
    </row>
    <row r="372" spans="1:12" ht="16.8" x14ac:dyDescent="0.4">
      <c r="A372" s="1"/>
      <c r="B372" s="6"/>
      <c r="C372" s="7"/>
      <c r="D372" s="7"/>
      <c r="E372" s="7"/>
      <c r="F372" s="8"/>
      <c r="G372" s="1"/>
      <c r="H372" s="7"/>
      <c r="I372" s="1"/>
      <c r="J372" s="9" t="str">
        <f t="shared" si="5"/>
        <v/>
      </c>
      <c r="K372" s="1"/>
      <c r="L372" s="1"/>
    </row>
    <row r="373" spans="1:12" ht="16.8" x14ac:dyDescent="0.4">
      <c r="A373" s="1"/>
      <c r="B373" s="6"/>
      <c r="C373" s="7"/>
      <c r="D373" s="7"/>
      <c r="E373" s="7"/>
      <c r="F373" s="8"/>
      <c r="G373" s="1"/>
      <c r="H373" s="7"/>
      <c r="I373" s="1"/>
      <c r="J373" s="9" t="str">
        <f t="shared" si="5"/>
        <v/>
      </c>
      <c r="K373" s="1"/>
      <c r="L373" s="1"/>
    </row>
    <row r="374" spans="1:12" ht="16.8" x14ac:dyDescent="0.4">
      <c r="A374" s="1"/>
      <c r="B374" s="6"/>
      <c r="C374" s="7"/>
      <c r="D374" s="7"/>
      <c r="E374" s="7"/>
      <c r="F374" s="8"/>
      <c r="G374" s="1"/>
      <c r="H374" s="7"/>
      <c r="I374" s="1"/>
      <c r="J374" s="9" t="str">
        <f t="shared" si="5"/>
        <v/>
      </c>
      <c r="K374" s="1"/>
      <c r="L374" s="1"/>
    </row>
    <row r="375" spans="1:12" ht="16.8" x14ac:dyDescent="0.4">
      <c r="A375" s="1"/>
      <c r="B375" s="6"/>
      <c r="C375" s="7"/>
      <c r="D375" s="7"/>
      <c r="E375" s="7"/>
      <c r="F375" s="8"/>
      <c r="G375" s="1"/>
      <c r="H375" s="7"/>
      <c r="I375" s="1"/>
      <c r="J375" s="9" t="str">
        <f t="shared" si="5"/>
        <v/>
      </c>
      <c r="K375" s="1"/>
      <c r="L375" s="1"/>
    </row>
    <row r="376" spans="1:12" ht="16.8" x14ac:dyDescent="0.4">
      <c r="A376" s="1"/>
      <c r="B376" s="6"/>
      <c r="C376" s="7"/>
      <c r="D376" s="7"/>
      <c r="E376" s="7"/>
      <c r="F376" s="8"/>
      <c r="G376" s="1"/>
      <c r="H376" s="7"/>
      <c r="I376" s="1"/>
      <c r="J376" s="9" t="str">
        <f t="shared" si="5"/>
        <v/>
      </c>
      <c r="K376" s="1"/>
      <c r="L376" s="1"/>
    </row>
    <row r="377" spans="1:12" ht="16.8" x14ac:dyDescent="0.4">
      <c r="A377" s="1"/>
      <c r="B377" s="6"/>
      <c r="C377" s="7"/>
      <c r="D377" s="7"/>
      <c r="E377" s="7"/>
      <c r="F377" s="8"/>
      <c r="G377" s="1"/>
      <c r="H377" s="7"/>
      <c r="I377" s="1"/>
      <c r="J377" s="9" t="str">
        <f t="shared" si="5"/>
        <v/>
      </c>
      <c r="K377" s="1"/>
      <c r="L377" s="1"/>
    </row>
    <row r="378" spans="1:12" ht="16.8" x14ac:dyDescent="0.4">
      <c r="A378" s="1"/>
      <c r="B378" s="6"/>
      <c r="C378" s="7"/>
      <c r="D378" s="7"/>
      <c r="E378" s="7"/>
      <c r="F378" s="8"/>
      <c r="G378" s="1"/>
      <c r="H378" s="7"/>
      <c r="I378" s="1"/>
      <c r="J378" s="9" t="str">
        <f t="shared" si="5"/>
        <v/>
      </c>
      <c r="K378" s="1"/>
      <c r="L378" s="1"/>
    </row>
    <row r="379" spans="1:12" ht="16.8" x14ac:dyDescent="0.4">
      <c r="A379" s="1"/>
      <c r="B379" s="6"/>
      <c r="C379" s="7"/>
      <c r="D379" s="7"/>
      <c r="E379" s="7"/>
      <c r="F379" s="8"/>
      <c r="G379" s="1"/>
      <c r="H379" s="7"/>
      <c r="I379" s="1"/>
      <c r="J379" s="9" t="str">
        <f t="shared" si="5"/>
        <v/>
      </c>
      <c r="K379" s="1"/>
      <c r="L379" s="1"/>
    </row>
    <row r="380" spans="1:12" ht="16.8" x14ac:dyDescent="0.4">
      <c r="A380" s="1"/>
      <c r="B380" s="6"/>
      <c r="C380" s="7"/>
      <c r="D380" s="7"/>
      <c r="E380" s="7"/>
      <c r="F380" s="8"/>
      <c r="G380" s="1"/>
      <c r="H380" s="7"/>
      <c r="I380" s="1"/>
      <c r="J380" s="9" t="str">
        <f t="shared" si="5"/>
        <v/>
      </c>
      <c r="K380" s="1"/>
      <c r="L380" s="1"/>
    </row>
    <row r="381" spans="1:12" ht="16.8" x14ac:dyDescent="0.4">
      <c r="A381" s="1"/>
      <c r="B381" s="6"/>
      <c r="C381" s="7"/>
      <c r="D381" s="7"/>
      <c r="E381" s="7"/>
      <c r="F381" s="8"/>
      <c r="G381" s="1"/>
      <c r="H381" s="7"/>
      <c r="I381" s="1"/>
      <c r="J381" s="9" t="str">
        <f t="shared" si="5"/>
        <v/>
      </c>
      <c r="K381" s="1"/>
      <c r="L381" s="1"/>
    </row>
    <row r="382" spans="1:12" ht="16.8" x14ac:dyDescent="0.4">
      <c r="A382" s="1"/>
      <c r="B382" s="6"/>
      <c r="C382" s="7"/>
      <c r="D382" s="7"/>
      <c r="E382" s="7"/>
      <c r="F382" s="8"/>
      <c r="G382" s="1"/>
      <c r="H382" s="7"/>
      <c r="I382" s="1"/>
      <c r="J382" s="9" t="str">
        <f t="shared" si="5"/>
        <v/>
      </c>
      <c r="K382" s="1"/>
      <c r="L382" s="1"/>
    </row>
    <row r="383" spans="1:12" ht="16.8" x14ac:dyDescent="0.4">
      <c r="A383" s="1"/>
      <c r="B383" s="6"/>
      <c r="C383" s="7"/>
      <c r="D383" s="7"/>
      <c r="E383" s="7"/>
      <c r="F383" s="8"/>
      <c r="G383" s="1"/>
      <c r="H383" s="7"/>
      <c r="I383" s="1"/>
      <c r="J383" s="9" t="str">
        <f t="shared" si="5"/>
        <v/>
      </c>
      <c r="K383" s="1"/>
      <c r="L383" s="1"/>
    </row>
    <row r="384" spans="1:12" ht="16.8" x14ac:dyDescent="0.4">
      <c r="A384" s="1"/>
      <c r="B384" s="6"/>
      <c r="C384" s="7"/>
      <c r="D384" s="7"/>
      <c r="E384" s="7"/>
      <c r="F384" s="8"/>
      <c r="G384" s="1"/>
      <c r="H384" s="7"/>
      <c r="I384" s="1"/>
      <c r="J384" s="9" t="str">
        <f t="shared" si="5"/>
        <v/>
      </c>
      <c r="K384" s="1"/>
      <c r="L384" s="1"/>
    </row>
    <row r="385" spans="1:12" ht="16.8" x14ac:dyDescent="0.4">
      <c r="A385" s="1"/>
      <c r="B385" s="6"/>
      <c r="C385" s="7"/>
      <c r="D385" s="7"/>
      <c r="E385" s="7"/>
      <c r="F385" s="8"/>
      <c r="G385" s="1"/>
      <c r="H385" s="7"/>
      <c r="I385" s="1"/>
      <c r="J385" s="9" t="str">
        <f t="shared" si="5"/>
        <v/>
      </c>
      <c r="K385" s="1"/>
      <c r="L385" s="1"/>
    </row>
    <row r="386" spans="1:12" ht="16.8" x14ac:dyDescent="0.4">
      <c r="A386" s="1"/>
      <c r="B386" s="6"/>
      <c r="C386" s="7"/>
      <c r="D386" s="7"/>
      <c r="E386" s="7"/>
      <c r="F386" s="8"/>
      <c r="G386" s="1"/>
      <c r="H386" s="7"/>
      <c r="I386" s="1"/>
      <c r="J386" s="9" t="str">
        <f t="shared" si="5"/>
        <v/>
      </c>
      <c r="K386" s="1"/>
      <c r="L386" s="1"/>
    </row>
    <row r="387" spans="1:12" ht="16.8" x14ac:dyDescent="0.4">
      <c r="A387" s="1"/>
      <c r="B387" s="6"/>
      <c r="C387" s="7"/>
      <c r="D387" s="7"/>
      <c r="E387" s="7"/>
      <c r="F387" s="8"/>
      <c r="G387" s="1"/>
      <c r="H387" s="7"/>
      <c r="I387" s="1"/>
      <c r="J387" s="9" t="str">
        <f t="shared" si="5"/>
        <v/>
      </c>
      <c r="K387" s="1"/>
      <c r="L387" s="1"/>
    </row>
    <row r="388" spans="1:12" ht="16.8" x14ac:dyDescent="0.4">
      <c r="A388" s="1"/>
      <c r="B388" s="6"/>
      <c r="C388" s="7"/>
      <c r="D388" s="7"/>
      <c r="E388" s="7"/>
      <c r="F388" s="8"/>
      <c r="G388" s="1"/>
      <c r="H388" s="7"/>
      <c r="I388" s="1"/>
      <c r="J388" s="9" t="str">
        <f t="shared" si="5"/>
        <v/>
      </c>
      <c r="K388" s="1"/>
      <c r="L388" s="1"/>
    </row>
    <row r="389" spans="1:12" ht="16.8" x14ac:dyDescent="0.4">
      <c r="A389" s="1"/>
      <c r="B389" s="6"/>
      <c r="C389" s="7"/>
      <c r="D389" s="7"/>
      <c r="E389" s="7"/>
      <c r="F389" s="8"/>
      <c r="G389" s="1"/>
      <c r="H389" s="7"/>
      <c r="I389" s="1"/>
      <c r="J389" s="9" t="str">
        <f t="shared" si="5"/>
        <v/>
      </c>
      <c r="K389" s="1"/>
      <c r="L389" s="1"/>
    </row>
    <row r="390" spans="1:12" ht="16.8" x14ac:dyDescent="0.4">
      <c r="A390" s="1"/>
      <c r="B390" s="6"/>
      <c r="C390" s="7"/>
      <c r="D390" s="7"/>
      <c r="E390" s="7"/>
      <c r="F390" s="8"/>
      <c r="G390" s="1"/>
      <c r="H390" s="7"/>
      <c r="I390" s="1"/>
      <c r="J390" s="9" t="str">
        <f t="shared" si="5"/>
        <v/>
      </c>
      <c r="K390" s="1"/>
      <c r="L390" s="1"/>
    </row>
    <row r="391" spans="1:12" ht="16.8" x14ac:dyDescent="0.4">
      <c r="A391" s="1"/>
      <c r="B391" s="6"/>
      <c r="C391" s="7"/>
      <c r="D391" s="7"/>
      <c r="E391" s="7"/>
      <c r="F391" s="8"/>
      <c r="G391" s="1"/>
      <c r="H391" s="7"/>
      <c r="I391" s="1"/>
      <c r="J391" s="9" t="str">
        <f t="shared" ref="J391:J406" si="6">IF($B391="","",TEXT($B391,"yyyy-mm"))</f>
        <v/>
      </c>
      <c r="K391" s="1"/>
      <c r="L391" s="1"/>
    </row>
    <row r="392" spans="1:12" ht="16.8" x14ac:dyDescent="0.4">
      <c r="A392" s="1"/>
      <c r="B392" s="6"/>
      <c r="C392" s="7"/>
      <c r="D392" s="7"/>
      <c r="E392" s="7"/>
      <c r="F392" s="8"/>
      <c r="G392" s="1"/>
      <c r="H392" s="7"/>
      <c r="I392" s="1"/>
      <c r="J392" s="9" t="str">
        <f t="shared" si="6"/>
        <v/>
      </c>
      <c r="K392" s="1"/>
      <c r="L392" s="1"/>
    </row>
    <row r="393" spans="1:12" ht="16.8" x14ac:dyDescent="0.4">
      <c r="A393" s="1"/>
      <c r="B393" s="6"/>
      <c r="C393" s="7"/>
      <c r="D393" s="7"/>
      <c r="E393" s="7"/>
      <c r="F393" s="8"/>
      <c r="G393" s="1"/>
      <c r="H393" s="7"/>
      <c r="I393" s="1"/>
      <c r="J393" s="9" t="str">
        <f t="shared" si="6"/>
        <v/>
      </c>
      <c r="K393" s="1"/>
      <c r="L393" s="1"/>
    </row>
    <row r="394" spans="1:12" ht="16.8" x14ac:dyDescent="0.4">
      <c r="A394" s="1"/>
      <c r="B394" s="6"/>
      <c r="C394" s="7"/>
      <c r="D394" s="7"/>
      <c r="E394" s="7"/>
      <c r="F394" s="8"/>
      <c r="G394" s="1"/>
      <c r="H394" s="7"/>
      <c r="I394" s="1"/>
      <c r="J394" s="9" t="str">
        <f t="shared" si="6"/>
        <v/>
      </c>
      <c r="K394" s="1"/>
      <c r="L394" s="1"/>
    </row>
    <row r="395" spans="1:12" ht="16.8" x14ac:dyDescent="0.4">
      <c r="A395" s="1"/>
      <c r="B395" s="6"/>
      <c r="C395" s="7"/>
      <c r="D395" s="7"/>
      <c r="E395" s="7"/>
      <c r="F395" s="8"/>
      <c r="G395" s="1"/>
      <c r="H395" s="7"/>
      <c r="I395" s="1"/>
      <c r="J395" s="9" t="str">
        <f t="shared" si="6"/>
        <v/>
      </c>
      <c r="K395" s="1"/>
      <c r="L395" s="1"/>
    </row>
    <row r="396" spans="1:12" ht="16.8" x14ac:dyDescent="0.4">
      <c r="A396" s="1"/>
      <c r="B396" s="6"/>
      <c r="C396" s="7"/>
      <c r="D396" s="7"/>
      <c r="E396" s="7"/>
      <c r="F396" s="8"/>
      <c r="G396" s="1"/>
      <c r="H396" s="7"/>
      <c r="I396" s="1"/>
      <c r="J396" s="9" t="str">
        <f t="shared" si="6"/>
        <v/>
      </c>
      <c r="K396" s="1"/>
      <c r="L396" s="1"/>
    </row>
    <row r="397" spans="1:12" ht="16.8" x14ac:dyDescent="0.4">
      <c r="A397" s="1"/>
      <c r="B397" s="6"/>
      <c r="C397" s="7"/>
      <c r="D397" s="7"/>
      <c r="E397" s="7"/>
      <c r="F397" s="8"/>
      <c r="G397" s="1"/>
      <c r="H397" s="7"/>
      <c r="I397" s="1"/>
      <c r="J397" s="9" t="str">
        <f t="shared" si="6"/>
        <v/>
      </c>
      <c r="K397" s="1"/>
      <c r="L397" s="1"/>
    </row>
    <row r="398" spans="1:12" ht="16.8" x14ac:dyDescent="0.4">
      <c r="A398" s="1"/>
      <c r="B398" s="6"/>
      <c r="C398" s="7"/>
      <c r="D398" s="7"/>
      <c r="E398" s="7"/>
      <c r="F398" s="8"/>
      <c r="G398" s="1"/>
      <c r="H398" s="7"/>
      <c r="I398" s="1"/>
      <c r="J398" s="9" t="str">
        <f t="shared" si="6"/>
        <v/>
      </c>
      <c r="K398" s="1"/>
      <c r="L398" s="1"/>
    </row>
    <row r="399" spans="1:12" ht="16.8" x14ac:dyDescent="0.4">
      <c r="A399" s="1"/>
      <c r="B399" s="6"/>
      <c r="C399" s="7"/>
      <c r="D399" s="7"/>
      <c r="E399" s="7"/>
      <c r="F399" s="8"/>
      <c r="G399" s="1"/>
      <c r="H399" s="7"/>
      <c r="I399" s="1"/>
      <c r="J399" s="9" t="str">
        <f t="shared" si="6"/>
        <v/>
      </c>
      <c r="K399" s="1"/>
      <c r="L399" s="1"/>
    </row>
    <row r="400" spans="1:12" ht="16.8" x14ac:dyDescent="0.4">
      <c r="A400" s="1"/>
      <c r="B400" s="6"/>
      <c r="C400" s="7"/>
      <c r="D400" s="7"/>
      <c r="E400" s="7"/>
      <c r="F400" s="8"/>
      <c r="G400" s="1"/>
      <c r="H400" s="7"/>
      <c r="I400" s="1"/>
      <c r="J400" s="9" t="str">
        <f t="shared" si="6"/>
        <v/>
      </c>
      <c r="K400" s="1"/>
      <c r="L400" s="1"/>
    </row>
    <row r="401" spans="1:12" ht="16.8" x14ac:dyDescent="0.4">
      <c r="A401" s="1"/>
      <c r="B401" s="6"/>
      <c r="C401" s="7"/>
      <c r="D401" s="7"/>
      <c r="E401" s="7"/>
      <c r="F401" s="8"/>
      <c r="G401" s="1"/>
      <c r="H401" s="7"/>
      <c r="I401" s="1"/>
      <c r="J401" s="9" t="str">
        <f t="shared" si="6"/>
        <v/>
      </c>
      <c r="K401" s="1"/>
      <c r="L401" s="1"/>
    </row>
    <row r="402" spans="1:12" ht="16.8" x14ac:dyDescent="0.4">
      <c r="A402" s="1"/>
      <c r="B402" s="6"/>
      <c r="C402" s="7"/>
      <c r="D402" s="7"/>
      <c r="E402" s="7"/>
      <c r="F402" s="8"/>
      <c r="G402" s="1"/>
      <c r="H402" s="7"/>
      <c r="I402" s="1"/>
      <c r="J402" s="9" t="str">
        <f t="shared" si="6"/>
        <v/>
      </c>
      <c r="K402" s="1"/>
      <c r="L402" s="1"/>
    </row>
    <row r="403" spans="1:12" ht="16.8" x14ac:dyDescent="0.4">
      <c r="A403" s="1"/>
      <c r="B403" s="6"/>
      <c r="C403" s="7"/>
      <c r="D403" s="7"/>
      <c r="E403" s="7"/>
      <c r="F403" s="8"/>
      <c r="G403" s="1"/>
      <c r="H403" s="7"/>
      <c r="I403" s="1"/>
      <c r="J403" s="9" t="str">
        <f t="shared" si="6"/>
        <v/>
      </c>
      <c r="K403" s="1"/>
      <c r="L403" s="1"/>
    </row>
    <row r="404" spans="1:12" ht="16.8" x14ac:dyDescent="0.4">
      <c r="A404" s="1"/>
      <c r="B404" s="6"/>
      <c r="C404" s="7"/>
      <c r="D404" s="7"/>
      <c r="E404" s="7"/>
      <c r="F404" s="8"/>
      <c r="G404" s="1"/>
      <c r="H404" s="7"/>
      <c r="I404" s="1"/>
      <c r="J404" s="9" t="str">
        <f t="shared" si="6"/>
        <v/>
      </c>
      <c r="K404" s="1"/>
      <c r="L404" s="1"/>
    </row>
    <row r="405" spans="1:12" ht="16.8" x14ac:dyDescent="0.4">
      <c r="A405" s="1"/>
      <c r="B405" s="6"/>
      <c r="C405" s="7"/>
      <c r="D405" s="7"/>
      <c r="E405" s="7"/>
      <c r="F405" s="8"/>
      <c r="G405" s="1"/>
      <c r="H405" s="7"/>
      <c r="I405" s="1"/>
      <c r="J405" s="9" t="str">
        <f t="shared" si="6"/>
        <v/>
      </c>
      <c r="K405" s="1"/>
      <c r="L405" s="1"/>
    </row>
    <row r="406" spans="1:12" ht="16.8" x14ac:dyDescent="0.4">
      <c r="A406" s="1"/>
      <c r="B406" s="6"/>
      <c r="C406" s="7"/>
      <c r="D406" s="7"/>
      <c r="E406" s="7"/>
      <c r="F406" s="8"/>
      <c r="G406" s="1"/>
      <c r="H406" s="7"/>
      <c r="I406" s="1"/>
      <c r="J406" s="9" t="str">
        <f t="shared" si="6"/>
        <v/>
      </c>
      <c r="K406" s="1"/>
      <c r="L406" s="1"/>
    </row>
    <row r="407" spans="1:12" ht="16.8" x14ac:dyDescent="0.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</row>
    <row r="408" spans="1:12" ht="16.8" x14ac:dyDescent="0.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</row>
    <row r="409" spans="1:12" ht="16.8" x14ac:dyDescent="0.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</row>
    <row r="410" spans="1:12" ht="16.8" x14ac:dyDescent="0.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</row>
  </sheetData>
  <phoneticPr fontId="19"/>
  <conditionalFormatting sqref="C7:C406">
    <cfRule type="expression" dxfId="6" priority="1">
      <formula>$C7="収入"</formula>
    </cfRule>
    <cfRule type="expression" dxfId="5" priority="2">
      <formula>$C7="支出"</formula>
    </cfRule>
    <cfRule type="expression" dxfId="4" priority="3">
      <formula>$C7="振替"</formula>
    </cfRule>
  </conditionalFormatting>
  <conditionalFormatting sqref="F7:F406">
    <cfRule type="expression" dxfId="3" priority="4">
      <formula>$C7="収入"</formula>
    </cfRule>
    <cfRule type="expression" dxfId="2" priority="5">
      <formula>$C7="支出"</formula>
    </cfRule>
  </conditionalFormatting>
  <dataValidations count="6">
    <dataValidation type="list" allowBlank="1" showErrorMessage="1" errorTitle="種類" error="収入 / 支出 / 振替 から選択してください" sqref="C7:C406" xr:uid="{00000000-0002-0000-0100-000000000000}">
      <formula1>種類リスト</formula1>
    </dataValidation>
    <dataValidation type="list" allowBlank="1" sqref="D7:E406" xr:uid="{00000000-0002-0000-0100-000001000000}">
      <formula1>口座リスト</formula1>
    </dataValidation>
    <dataValidation type="decimal" operator="greaterThan" allowBlank="1" showErrorMessage="1" errorTitle="金額" error="金額は0より大きい値を入力してください" sqref="F7:F406" xr:uid="{00000000-0002-0000-0100-000003000000}">
      <formula1>0</formula1>
    </dataValidation>
    <dataValidation type="list" allowBlank="1" sqref="G7:G406" xr:uid="{00000000-0002-0000-0100-000004000000}">
      <formula1>カテゴリリスト</formula1>
    </dataValidation>
    <dataValidation type="list" allowBlank="1" sqref="H7:H406" xr:uid="{00000000-0002-0000-0100-000005000000}">
      <formula1>支払方法リスト</formula1>
    </dataValidation>
    <dataValidation type="date" operator="greaterThanOrEqual" allowBlank="1" showErrorMessage="1" errorTitle="日付" error="正しい日付を入力してください" sqref="B7:B406" xr:uid="{00000000-0002-0000-0100-000006000000}">
      <formula1>DATE(2000,1,1)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BA6F7"/>
  </sheetPr>
  <dimension ref="A1:L52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18" customWidth="1"/>
    <col min="3" max="3" width="8" customWidth="1"/>
    <col min="4" max="4" width="13" customWidth="1"/>
    <col min="5" max="5" width="8" customWidth="1"/>
    <col min="6" max="6" width="10" customWidth="1"/>
    <col min="7" max="8" width="11" customWidth="1"/>
    <col min="9" max="9" width="7" customWidth="1"/>
    <col min="10" max="10" width="22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46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47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0" t="s">
        <v>48</v>
      </c>
      <c r="C4" s="1"/>
      <c r="D4" s="11" t="s">
        <v>49</v>
      </c>
      <c r="E4" s="12">
        <f>SUMIFS(T_Fixed[金額],T_Fixed[種類],"支出",T_Fixed[有効],"ON")</f>
        <v>92000</v>
      </c>
      <c r="F4" s="1"/>
      <c r="G4" s="11" t="s">
        <v>50</v>
      </c>
      <c r="H4" s="13">
        <f>SUMIFS(T_Fixed[金額],T_Fixed[種類],"収入",T_Fixed[有効],"ON")</f>
        <v>250000</v>
      </c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51</v>
      </c>
      <c r="C6" s="5" t="s">
        <v>11</v>
      </c>
      <c r="D6" s="5" t="s">
        <v>14</v>
      </c>
      <c r="E6" s="5" t="s">
        <v>52</v>
      </c>
      <c r="F6" s="5" t="s">
        <v>53</v>
      </c>
      <c r="G6" s="5" t="s">
        <v>15</v>
      </c>
      <c r="H6" s="5" t="s">
        <v>16</v>
      </c>
      <c r="I6" s="5" t="s">
        <v>54</v>
      </c>
      <c r="J6" s="5" t="s">
        <v>17</v>
      </c>
      <c r="K6" s="1"/>
      <c r="L6" s="1"/>
    </row>
    <row r="7" spans="1:12" ht="16.8" x14ac:dyDescent="0.4">
      <c r="A7" s="1"/>
      <c r="B7" s="14" t="s">
        <v>21</v>
      </c>
      <c r="C7" s="7" t="s">
        <v>19</v>
      </c>
      <c r="D7" s="8">
        <v>250000</v>
      </c>
      <c r="E7" s="15">
        <v>25</v>
      </c>
      <c r="F7" s="7" t="s">
        <v>20</v>
      </c>
      <c r="G7" s="7" t="s">
        <v>21</v>
      </c>
      <c r="H7" s="7" t="s">
        <v>22</v>
      </c>
      <c r="I7" s="7" t="s">
        <v>55</v>
      </c>
      <c r="J7" s="14" t="s">
        <v>56</v>
      </c>
      <c r="K7" s="1"/>
      <c r="L7" s="1"/>
    </row>
    <row r="8" spans="1:12" ht="16.8" x14ac:dyDescent="0.4">
      <c r="A8" s="1"/>
      <c r="B8" s="14" t="s">
        <v>31</v>
      </c>
      <c r="C8" s="7" t="s">
        <v>28</v>
      </c>
      <c r="D8" s="8">
        <v>80000</v>
      </c>
      <c r="E8" s="15">
        <v>27</v>
      </c>
      <c r="F8" s="7" t="s">
        <v>20</v>
      </c>
      <c r="G8" s="7" t="s">
        <v>29</v>
      </c>
      <c r="H8" s="7" t="s">
        <v>30</v>
      </c>
      <c r="I8" s="7" t="s">
        <v>55</v>
      </c>
      <c r="J8" s="14"/>
      <c r="K8" s="1"/>
      <c r="L8" s="1"/>
    </row>
    <row r="9" spans="1:12" ht="16.8" x14ac:dyDescent="0.4">
      <c r="A9" s="1"/>
      <c r="B9" s="14" t="s">
        <v>57</v>
      </c>
      <c r="C9" s="7" t="s">
        <v>28</v>
      </c>
      <c r="D9" s="8">
        <v>6000</v>
      </c>
      <c r="E9" s="15">
        <v>15</v>
      </c>
      <c r="F9" s="7" t="s">
        <v>20</v>
      </c>
      <c r="G9" s="7" t="s">
        <v>58</v>
      </c>
      <c r="H9" s="7" t="s">
        <v>30</v>
      </c>
      <c r="I9" s="7" t="s">
        <v>55</v>
      </c>
      <c r="J9" s="14"/>
      <c r="K9" s="1"/>
      <c r="L9" s="1"/>
    </row>
    <row r="10" spans="1:12" ht="16.8" x14ac:dyDescent="0.4">
      <c r="A10" s="1"/>
      <c r="B10" s="14" t="s">
        <v>59</v>
      </c>
      <c r="C10" s="7" t="s">
        <v>28</v>
      </c>
      <c r="D10" s="8">
        <v>6000</v>
      </c>
      <c r="E10" s="15">
        <v>10</v>
      </c>
      <c r="F10" s="7" t="s">
        <v>20</v>
      </c>
      <c r="G10" s="7" t="s">
        <v>36</v>
      </c>
      <c r="H10" s="7" t="s">
        <v>30</v>
      </c>
      <c r="I10" s="7" t="s">
        <v>55</v>
      </c>
      <c r="J10" s="14"/>
      <c r="K10" s="1"/>
      <c r="L10" s="1"/>
    </row>
    <row r="11" spans="1:12" ht="16.8" x14ac:dyDescent="0.4">
      <c r="A11" s="1"/>
      <c r="B11" s="14" t="s">
        <v>60</v>
      </c>
      <c r="C11" s="7" t="s">
        <v>28</v>
      </c>
      <c r="D11" s="8">
        <v>5000</v>
      </c>
      <c r="E11" s="15">
        <v>5</v>
      </c>
      <c r="F11" s="7" t="s">
        <v>20</v>
      </c>
      <c r="G11" s="7" t="s">
        <v>60</v>
      </c>
      <c r="H11" s="7" t="s">
        <v>30</v>
      </c>
      <c r="I11" s="7" t="s">
        <v>61</v>
      </c>
      <c r="J11" s="14" t="s">
        <v>62</v>
      </c>
      <c r="K11" s="1"/>
      <c r="L11" s="1"/>
    </row>
    <row r="12" spans="1:12" ht="16.8" x14ac:dyDescent="0.4">
      <c r="A12" s="1"/>
      <c r="B12" s="14"/>
      <c r="C12" s="7"/>
      <c r="D12" s="8"/>
      <c r="E12" s="15"/>
      <c r="F12" s="7"/>
      <c r="G12" s="7"/>
      <c r="H12" s="7"/>
      <c r="I12" s="7"/>
      <c r="J12" s="14"/>
      <c r="K12" s="1"/>
      <c r="L12" s="1"/>
    </row>
    <row r="13" spans="1:12" ht="16.8" x14ac:dyDescent="0.4">
      <c r="A13" s="1"/>
      <c r="B13" s="14"/>
      <c r="C13" s="7"/>
      <c r="D13" s="8"/>
      <c r="E13" s="15"/>
      <c r="F13" s="7"/>
      <c r="G13" s="7"/>
      <c r="H13" s="7"/>
      <c r="I13" s="7"/>
      <c r="J13" s="14"/>
      <c r="K13" s="1"/>
      <c r="L13" s="1"/>
    </row>
    <row r="14" spans="1:12" ht="16.8" x14ac:dyDescent="0.4">
      <c r="A14" s="1"/>
      <c r="B14" s="14"/>
      <c r="C14" s="7"/>
      <c r="D14" s="8"/>
      <c r="E14" s="15"/>
      <c r="F14" s="7"/>
      <c r="G14" s="7"/>
      <c r="H14" s="7"/>
      <c r="I14" s="7"/>
      <c r="J14" s="14"/>
      <c r="K14" s="1"/>
      <c r="L14" s="1"/>
    </row>
    <row r="15" spans="1:12" ht="16.8" x14ac:dyDescent="0.4">
      <c r="A15" s="1"/>
      <c r="B15" s="14"/>
      <c r="C15" s="7"/>
      <c r="D15" s="8"/>
      <c r="E15" s="15"/>
      <c r="F15" s="7"/>
      <c r="G15" s="7"/>
      <c r="H15" s="7"/>
      <c r="I15" s="7"/>
      <c r="J15" s="14"/>
      <c r="K15" s="1"/>
      <c r="L15" s="1"/>
    </row>
    <row r="16" spans="1:12" ht="16.8" x14ac:dyDescent="0.4">
      <c r="A16" s="1"/>
      <c r="B16" s="14"/>
      <c r="C16" s="7"/>
      <c r="D16" s="8"/>
      <c r="E16" s="15"/>
      <c r="F16" s="7"/>
      <c r="G16" s="7"/>
      <c r="H16" s="7"/>
      <c r="I16" s="7"/>
      <c r="J16" s="14"/>
      <c r="K16" s="1"/>
      <c r="L16" s="1"/>
    </row>
    <row r="17" spans="1:12" ht="16.8" x14ac:dyDescent="0.4">
      <c r="A17" s="1"/>
      <c r="B17" s="14"/>
      <c r="C17" s="7"/>
      <c r="D17" s="8"/>
      <c r="E17" s="15"/>
      <c r="F17" s="7"/>
      <c r="G17" s="7"/>
      <c r="H17" s="7"/>
      <c r="I17" s="7"/>
      <c r="J17" s="14"/>
      <c r="K17" s="1"/>
      <c r="L17" s="1"/>
    </row>
    <row r="18" spans="1:12" ht="16.8" x14ac:dyDescent="0.4">
      <c r="A18" s="1"/>
      <c r="B18" s="14"/>
      <c r="C18" s="7"/>
      <c r="D18" s="8"/>
      <c r="E18" s="15"/>
      <c r="F18" s="7"/>
      <c r="G18" s="7"/>
      <c r="H18" s="7"/>
      <c r="I18" s="7"/>
      <c r="J18" s="14"/>
      <c r="K18" s="1"/>
      <c r="L18" s="1"/>
    </row>
    <row r="19" spans="1:12" ht="16.8" x14ac:dyDescent="0.4">
      <c r="A19" s="1"/>
      <c r="B19" s="14"/>
      <c r="C19" s="7"/>
      <c r="D19" s="8"/>
      <c r="E19" s="15"/>
      <c r="F19" s="7"/>
      <c r="G19" s="7"/>
      <c r="H19" s="7"/>
      <c r="I19" s="7"/>
      <c r="J19" s="14"/>
      <c r="K19" s="1"/>
      <c r="L19" s="1"/>
    </row>
    <row r="20" spans="1:12" ht="16.8" x14ac:dyDescent="0.4">
      <c r="A20" s="1"/>
      <c r="B20" s="14"/>
      <c r="C20" s="7"/>
      <c r="D20" s="8"/>
      <c r="E20" s="15"/>
      <c r="F20" s="7"/>
      <c r="G20" s="7"/>
      <c r="H20" s="7"/>
      <c r="I20" s="7"/>
      <c r="J20" s="14"/>
      <c r="K20" s="1"/>
      <c r="L20" s="1"/>
    </row>
    <row r="21" spans="1:12" ht="16.8" x14ac:dyDescent="0.4">
      <c r="A21" s="1"/>
      <c r="B21" s="14"/>
      <c r="C21" s="7"/>
      <c r="D21" s="8"/>
      <c r="E21" s="15"/>
      <c r="F21" s="7"/>
      <c r="G21" s="7"/>
      <c r="H21" s="7"/>
      <c r="I21" s="7"/>
      <c r="J21" s="14"/>
      <c r="K21" s="1"/>
      <c r="L21" s="1"/>
    </row>
    <row r="22" spans="1:12" ht="16.8" x14ac:dyDescent="0.4">
      <c r="A22" s="1"/>
      <c r="B22" s="14"/>
      <c r="C22" s="7"/>
      <c r="D22" s="8"/>
      <c r="E22" s="15"/>
      <c r="F22" s="7"/>
      <c r="G22" s="7"/>
      <c r="H22" s="7"/>
      <c r="I22" s="7"/>
      <c r="J22" s="14"/>
      <c r="K22" s="1"/>
      <c r="L22" s="1"/>
    </row>
    <row r="23" spans="1:12" ht="16.8" x14ac:dyDescent="0.4">
      <c r="A23" s="1"/>
      <c r="B23" s="14"/>
      <c r="C23" s="7"/>
      <c r="D23" s="8"/>
      <c r="E23" s="15"/>
      <c r="F23" s="7"/>
      <c r="G23" s="7"/>
      <c r="H23" s="7"/>
      <c r="I23" s="7"/>
      <c r="J23" s="14"/>
      <c r="K23" s="1"/>
      <c r="L23" s="1"/>
    </row>
    <row r="24" spans="1:12" ht="16.8" x14ac:dyDescent="0.4">
      <c r="A24" s="1"/>
      <c r="B24" s="14"/>
      <c r="C24" s="7"/>
      <c r="D24" s="8"/>
      <c r="E24" s="15"/>
      <c r="F24" s="7"/>
      <c r="G24" s="7"/>
      <c r="H24" s="7"/>
      <c r="I24" s="7"/>
      <c r="J24" s="14"/>
      <c r="K24" s="1"/>
      <c r="L24" s="1"/>
    </row>
    <row r="25" spans="1:12" ht="16.8" x14ac:dyDescent="0.4">
      <c r="A25" s="1"/>
      <c r="B25" s="14"/>
      <c r="C25" s="7"/>
      <c r="D25" s="8"/>
      <c r="E25" s="15"/>
      <c r="F25" s="7"/>
      <c r="G25" s="7"/>
      <c r="H25" s="7"/>
      <c r="I25" s="7"/>
      <c r="J25" s="14"/>
      <c r="K25" s="1"/>
      <c r="L25" s="1"/>
    </row>
    <row r="26" spans="1:12" ht="16.8" x14ac:dyDescent="0.4">
      <c r="A26" s="1"/>
      <c r="B26" s="14"/>
      <c r="C26" s="7"/>
      <c r="D26" s="8"/>
      <c r="E26" s="15"/>
      <c r="F26" s="7"/>
      <c r="G26" s="7"/>
      <c r="H26" s="7"/>
      <c r="I26" s="7"/>
      <c r="J26" s="14"/>
      <c r="K26" s="1"/>
      <c r="L26" s="1"/>
    </row>
    <row r="27" spans="1:12" ht="16.8" x14ac:dyDescent="0.4">
      <c r="A27" s="1"/>
      <c r="B27" s="14"/>
      <c r="C27" s="7"/>
      <c r="D27" s="8"/>
      <c r="E27" s="15"/>
      <c r="F27" s="7"/>
      <c r="G27" s="7"/>
      <c r="H27" s="7"/>
      <c r="I27" s="7"/>
      <c r="J27" s="14"/>
      <c r="K27" s="1"/>
      <c r="L27" s="1"/>
    </row>
    <row r="28" spans="1:12" ht="16.8" x14ac:dyDescent="0.4">
      <c r="A28" s="1"/>
      <c r="B28" s="14"/>
      <c r="C28" s="7"/>
      <c r="D28" s="8"/>
      <c r="E28" s="15"/>
      <c r="F28" s="7"/>
      <c r="G28" s="7"/>
      <c r="H28" s="7"/>
      <c r="I28" s="7"/>
      <c r="J28" s="14"/>
      <c r="K28" s="1"/>
      <c r="L28" s="1"/>
    </row>
    <row r="29" spans="1:12" ht="16.8" x14ac:dyDescent="0.4">
      <c r="A29" s="1"/>
      <c r="B29" s="14"/>
      <c r="C29" s="7"/>
      <c r="D29" s="8"/>
      <c r="E29" s="15"/>
      <c r="F29" s="7"/>
      <c r="G29" s="7"/>
      <c r="H29" s="7"/>
      <c r="I29" s="7"/>
      <c r="J29" s="14"/>
      <c r="K29" s="1"/>
      <c r="L29" s="1"/>
    </row>
    <row r="30" spans="1:12" ht="16.8" x14ac:dyDescent="0.4">
      <c r="A30" s="1"/>
      <c r="B30" s="14"/>
      <c r="C30" s="7"/>
      <c r="D30" s="8"/>
      <c r="E30" s="15"/>
      <c r="F30" s="7"/>
      <c r="G30" s="7"/>
      <c r="H30" s="7"/>
      <c r="I30" s="7"/>
      <c r="J30" s="14"/>
      <c r="K30" s="1"/>
      <c r="L30" s="1"/>
    </row>
    <row r="31" spans="1:12" ht="16.8" x14ac:dyDescent="0.4">
      <c r="A31" s="1"/>
      <c r="B31" s="14"/>
      <c r="C31" s="7"/>
      <c r="D31" s="8"/>
      <c r="E31" s="15"/>
      <c r="F31" s="7"/>
      <c r="G31" s="7"/>
      <c r="H31" s="7"/>
      <c r="I31" s="7"/>
      <c r="J31" s="14"/>
      <c r="K31" s="1"/>
      <c r="L31" s="1"/>
    </row>
    <row r="32" spans="1:12" ht="16.8" x14ac:dyDescent="0.4">
      <c r="A32" s="1"/>
      <c r="B32" s="14"/>
      <c r="C32" s="7"/>
      <c r="D32" s="8"/>
      <c r="E32" s="15"/>
      <c r="F32" s="7"/>
      <c r="G32" s="7"/>
      <c r="H32" s="7"/>
      <c r="I32" s="7"/>
      <c r="J32" s="14"/>
      <c r="K32" s="1"/>
      <c r="L32" s="1"/>
    </row>
    <row r="33" spans="1:12" ht="16.8" x14ac:dyDescent="0.4">
      <c r="A33" s="1"/>
      <c r="B33" s="14"/>
      <c r="C33" s="7"/>
      <c r="D33" s="8"/>
      <c r="E33" s="15"/>
      <c r="F33" s="7"/>
      <c r="G33" s="7"/>
      <c r="H33" s="7"/>
      <c r="I33" s="7"/>
      <c r="J33" s="14"/>
      <c r="K33" s="1"/>
      <c r="L33" s="1"/>
    </row>
    <row r="34" spans="1:12" ht="16.8" x14ac:dyDescent="0.4">
      <c r="A34" s="1"/>
      <c r="B34" s="14"/>
      <c r="C34" s="7"/>
      <c r="D34" s="8"/>
      <c r="E34" s="15"/>
      <c r="F34" s="7"/>
      <c r="G34" s="7"/>
      <c r="H34" s="7"/>
      <c r="I34" s="7"/>
      <c r="J34" s="14"/>
      <c r="K34" s="1"/>
      <c r="L34" s="1"/>
    </row>
    <row r="35" spans="1:12" ht="16.8" x14ac:dyDescent="0.4">
      <c r="A35" s="1"/>
      <c r="B35" s="14"/>
      <c r="C35" s="7"/>
      <c r="D35" s="8"/>
      <c r="E35" s="15"/>
      <c r="F35" s="7"/>
      <c r="G35" s="7"/>
      <c r="H35" s="7"/>
      <c r="I35" s="7"/>
      <c r="J35" s="14"/>
      <c r="K35" s="1"/>
      <c r="L35" s="1"/>
    </row>
    <row r="36" spans="1:12" ht="16.8" x14ac:dyDescent="0.4">
      <c r="A36" s="1"/>
      <c r="B36" s="14"/>
      <c r="C36" s="7"/>
      <c r="D36" s="8"/>
      <c r="E36" s="15"/>
      <c r="F36" s="7"/>
      <c r="G36" s="7"/>
      <c r="H36" s="7"/>
      <c r="I36" s="7"/>
      <c r="J36" s="14"/>
      <c r="K36" s="1"/>
      <c r="L36" s="1"/>
    </row>
    <row r="37" spans="1:12" ht="16.8" x14ac:dyDescent="0.4">
      <c r="A37" s="1"/>
      <c r="B37" s="14"/>
      <c r="C37" s="7"/>
      <c r="D37" s="8"/>
      <c r="E37" s="15"/>
      <c r="F37" s="7"/>
      <c r="G37" s="7"/>
      <c r="H37" s="7"/>
      <c r="I37" s="7"/>
      <c r="J37" s="14"/>
      <c r="K37" s="1"/>
      <c r="L37" s="1"/>
    </row>
    <row r="38" spans="1:12" ht="16.8" x14ac:dyDescent="0.4">
      <c r="A38" s="1"/>
      <c r="B38" s="14"/>
      <c r="C38" s="7"/>
      <c r="D38" s="8"/>
      <c r="E38" s="15"/>
      <c r="F38" s="7"/>
      <c r="G38" s="7"/>
      <c r="H38" s="7"/>
      <c r="I38" s="7"/>
      <c r="J38" s="14"/>
      <c r="K38" s="1"/>
      <c r="L38" s="1"/>
    </row>
    <row r="39" spans="1:12" ht="16.8" x14ac:dyDescent="0.4">
      <c r="A39" s="1"/>
      <c r="B39" s="14"/>
      <c r="C39" s="7"/>
      <c r="D39" s="8"/>
      <c r="E39" s="15"/>
      <c r="F39" s="7"/>
      <c r="G39" s="7"/>
      <c r="H39" s="7"/>
      <c r="I39" s="7"/>
      <c r="J39" s="14"/>
      <c r="K39" s="1"/>
      <c r="L39" s="1"/>
    </row>
    <row r="40" spans="1:12" ht="16.8" x14ac:dyDescent="0.4">
      <c r="A40" s="1"/>
      <c r="B40" s="14"/>
      <c r="C40" s="7"/>
      <c r="D40" s="8"/>
      <c r="E40" s="15"/>
      <c r="F40" s="7"/>
      <c r="G40" s="7"/>
      <c r="H40" s="7"/>
      <c r="I40" s="7"/>
      <c r="J40" s="14"/>
      <c r="K40" s="1"/>
      <c r="L40" s="1"/>
    </row>
    <row r="41" spans="1:12" ht="16.8" x14ac:dyDescent="0.4">
      <c r="A41" s="1"/>
      <c r="B41" s="14"/>
      <c r="C41" s="7"/>
      <c r="D41" s="8"/>
      <c r="E41" s="15"/>
      <c r="F41" s="7"/>
      <c r="G41" s="7"/>
      <c r="H41" s="7"/>
      <c r="I41" s="7"/>
      <c r="J41" s="14"/>
      <c r="K41" s="1"/>
      <c r="L41" s="1"/>
    </row>
    <row r="42" spans="1:12" ht="16.8" x14ac:dyDescent="0.4">
      <c r="A42" s="1"/>
      <c r="B42" s="14"/>
      <c r="C42" s="7"/>
      <c r="D42" s="8"/>
      <c r="E42" s="15"/>
      <c r="F42" s="7"/>
      <c r="G42" s="7"/>
      <c r="H42" s="7"/>
      <c r="I42" s="7"/>
      <c r="J42" s="14"/>
      <c r="K42" s="1"/>
      <c r="L42" s="1"/>
    </row>
    <row r="43" spans="1:12" ht="16.8" x14ac:dyDescent="0.4">
      <c r="A43" s="1"/>
      <c r="B43" s="14"/>
      <c r="C43" s="7"/>
      <c r="D43" s="8"/>
      <c r="E43" s="15"/>
      <c r="F43" s="7"/>
      <c r="G43" s="7"/>
      <c r="H43" s="7"/>
      <c r="I43" s="7"/>
      <c r="J43" s="14"/>
      <c r="K43" s="1"/>
      <c r="L43" s="1"/>
    </row>
    <row r="44" spans="1:12" ht="16.8" x14ac:dyDescent="0.4">
      <c r="A44" s="1"/>
      <c r="B44" s="14"/>
      <c r="C44" s="7"/>
      <c r="D44" s="8"/>
      <c r="E44" s="15"/>
      <c r="F44" s="7"/>
      <c r="G44" s="7"/>
      <c r="H44" s="7"/>
      <c r="I44" s="7"/>
      <c r="J44" s="14"/>
      <c r="K44" s="1"/>
      <c r="L44" s="1"/>
    </row>
    <row r="45" spans="1:12" ht="16.8" x14ac:dyDescent="0.4">
      <c r="A45" s="1"/>
      <c r="B45" s="14"/>
      <c r="C45" s="7"/>
      <c r="D45" s="8"/>
      <c r="E45" s="15"/>
      <c r="F45" s="7"/>
      <c r="G45" s="7"/>
      <c r="H45" s="7"/>
      <c r="I45" s="7"/>
      <c r="J45" s="14"/>
      <c r="K45" s="1"/>
      <c r="L45" s="1"/>
    </row>
    <row r="46" spans="1:12" ht="16.8" x14ac:dyDescent="0.4">
      <c r="A46" s="1"/>
      <c r="B46" s="14"/>
      <c r="C46" s="7"/>
      <c r="D46" s="8"/>
      <c r="E46" s="15"/>
      <c r="F46" s="7"/>
      <c r="G46" s="7"/>
      <c r="H46" s="7"/>
      <c r="I46" s="7"/>
      <c r="J46" s="14"/>
      <c r="K46" s="1"/>
      <c r="L46" s="1"/>
    </row>
    <row r="47" spans="1:12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honeticPr fontId="19"/>
  <conditionalFormatting sqref="B7:J46">
    <cfRule type="expression" dxfId="1" priority="1">
      <formula>$I7="OFF"</formula>
    </cfRule>
  </conditionalFormatting>
  <dataValidations count="7">
    <dataValidation type="list" allowBlank="1" sqref="C7:C46" xr:uid="{00000000-0002-0000-0200-000000000000}">
      <formula1>種類リスト</formula1>
    </dataValidation>
    <dataValidation type="list" allowBlank="1" sqref="F7:F46" xr:uid="{00000000-0002-0000-0200-000001000000}">
      <formula1>口座リスト</formula1>
    </dataValidation>
    <dataValidation type="list" allowBlank="1" sqref="G7:G46" xr:uid="{00000000-0002-0000-0200-000002000000}">
      <formula1>カテゴリリスト</formula1>
    </dataValidation>
    <dataValidation type="list" allowBlank="1" sqref="H7:H46" xr:uid="{00000000-0002-0000-0200-000003000000}">
      <formula1>支払方法リスト</formula1>
    </dataValidation>
    <dataValidation type="list" allowBlank="1" sqref="I7:I46" xr:uid="{00000000-0002-0000-0200-000004000000}">
      <formula1>"ON,OFF"</formula1>
    </dataValidation>
    <dataValidation type="decimal" operator="greaterThan" allowBlank="1" sqref="D7:D46" xr:uid="{00000000-0002-0000-0200-000005000000}">
      <formula1>0</formula1>
    </dataValidation>
    <dataValidation type="whole" allowBlank="1" showErrorMessage="1" errorTitle="支払日" error="1〜31の日を入力してください" sqref="E7:E46" xr:uid="{00000000-0002-0000-0200-000006000000}">
      <formula1>1</formula1>
      <formula2>31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ReflectFixedItems">
                <anchor moveWithCells="1" sizeWithCells="1">
                  <from>
                    <xdr:col>1</xdr:col>
                    <xdr:colOff>0</xdr:colOff>
                    <xdr:row>3</xdr:row>
                    <xdr:rowOff>7620</xdr:rowOff>
                  </from>
                  <to>
                    <xdr:col>2</xdr:col>
                    <xdr:colOff>289560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AB387"/>
  </sheetPr>
  <dimension ref="A1:L52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20" customWidth="1"/>
    <col min="3" max="3" width="12" customWidth="1"/>
    <col min="4" max="4" width="8" customWidth="1"/>
    <col min="5" max="5" width="12" customWidth="1"/>
    <col min="6" max="6" width="11" customWidth="1"/>
    <col min="7" max="7" width="10" customWidth="1"/>
    <col min="8" max="8" width="11" customWidth="1"/>
    <col min="9" max="9" width="7" customWidth="1"/>
    <col min="10" max="10" width="20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63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64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0" t="s">
        <v>48</v>
      </c>
      <c r="C4" s="1"/>
      <c r="D4" s="11" t="s">
        <v>65</v>
      </c>
      <c r="E4" s="16">
        <f>SUMIFS(T_Sub[金額],T_Sub[有効],"ON")</f>
        <v>2470</v>
      </c>
      <c r="F4" s="1"/>
      <c r="G4" s="11" t="s">
        <v>66</v>
      </c>
      <c r="H4" s="17">
        <f>COUNTIFS(T_Sub[有効],"ON")</f>
        <v>2</v>
      </c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51</v>
      </c>
      <c r="C6" s="5" t="s">
        <v>67</v>
      </c>
      <c r="D6" s="5" t="s">
        <v>52</v>
      </c>
      <c r="E6" s="5" t="s">
        <v>14</v>
      </c>
      <c r="F6" s="5" t="s">
        <v>16</v>
      </c>
      <c r="G6" s="5" t="s">
        <v>53</v>
      </c>
      <c r="H6" s="5" t="s">
        <v>15</v>
      </c>
      <c r="I6" s="5" t="s">
        <v>54</v>
      </c>
      <c r="J6" s="5" t="s">
        <v>17</v>
      </c>
      <c r="K6" s="1"/>
      <c r="L6" s="1"/>
    </row>
    <row r="7" spans="1:12" ht="16.8" x14ac:dyDescent="0.4">
      <c r="A7" s="1"/>
      <c r="B7" s="14" t="s">
        <v>68</v>
      </c>
      <c r="C7" s="6">
        <v>45658</v>
      </c>
      <c r="D7" s="15">
        <v>15</v>
      </c>
      <c r="E7" s="8">
        <v>1490</v>
      </c>
      <c r="F7" s="7" t="s">
        <v>42</v>
      </c>
      <c r="G7" s="7" t="s">
        <v>20</v>
      </c>
      <c r="H7" s="7" t="s">
        <v>63</v>
      </c>
      <c r="I7" s="7" t="s">
        <v>55</v>
      </c>
      <c r="J7" s="14" t="s">
        <v>69</v>
      </c>
      <c r="K7" s="1"/>
      <c r="L7" s="1"/>
    </row>
    <row r="8" spans="1:12" ht="16.8" x14ac:dyDescent="0.4">
      <c r="A8" s="1"/>
      <c r="B8" s="14" t="s">
        <v>70</v>
      </c>
      <c r="C8" s="6">
        <v>45717</v>
      </c>
      <c r="D8" s="15">
        <v>5</v>
      </c>
      <c r="E8" s="8">
        <v>980</v>
      </c>
      <c r="F8" s="7" t="s">
        <v>42</v>
      </c>
      <c r="G8" s="7" t="s">
        <v>20</v>
      </c>
      <c r="H8" s="7" t="s">
        <v>63</v>
      </c>
      <c r="I8" s="7" t="s">
        <v>55</v>
      </c>
      <c r="J8" s="14" t="s">
        <v>71</v>
      </c>
      <c r="K8" s="1"/>
      <c r="L8" s="1"/>
    </row>
    <row r="9" spans="1:12" ht="16.8" x14ac:dyDescent="0.4">
      <c r="A9" s="1"/>
      <c r="B9" s="14" t="s">
        <v>72</v>
      </c>
      <c r="C9" s="6">
        <v>46023</v>
      </c>
      <c r="D9" s="15">
        <v>1</v>
      </c>
      <c r="E9" s="8">
        <v>500</v>
      </c>
      <c r="F9" s="7" t="s">
        <v>26</v>
      </c>
      <c r="G9" s="7" t="s">
        <v>24</v>
      </c>
      <c r="H9" s="7" t="s">
        <v>63</v>
      </c>
      <c r="I9" s="7" t="s">
        <v>61</v>
      </c>
      <c r="J9" s="14" t="s">
        <v>73</v>
      </c>
      <c r="K9" s="1"/>
      <c r="L9" s="1"/>
    </row>
    <row r="10" spans="1:12" ht="16.8" x14ac:dyDescent="0.4">
      <c r="A10" s="1"/>
      <c r="B10" s="14"/>
      <c r="C10" s="6"/>
      <c r="D10" s="15"/>
      <c r="E10" s="8"/>
      <c r="F10" s="7"/>
      <c r="G10" s="7"/>
      <c r="H10" s="7"/>
      <c r="I10" s="7"/>
      <c r="J10" s="14"/>
      <c r="K10" s="1"/>
      <c r="L10" s="1"/>
    </row>
    <row r="11" spans="1:12" ht="16.8" x14ac:dyDescent="0.4">
      <c r="A11" s="1"/>
      <c r="B11" s="14"/>
      <c r="C11" s="6"/>
      <c r="D11" s="15"/>
      <c r="E11" s="8"/>
      <c r="F11" s="7"/>
      <c r="G11" s="7"/>
      <c r="H11" s="7"/>
      <c r="I11" s="7"/>
      <c r="J11" s="14"/>
      <c r="K11" s="1"/>
      <c r="L11" s="1"/>
    </row>
    <row r="12" spans="1:12" ht="16.8" x14ac:dyDescent="0.4">
      <c r="A12" s="1"/>
      <c r="B12" s="14"/>
      <c r="C12" s="6"/>
      <c r="D12" s="15"/>
      <c r="E12" s="8"/>
      <c r="F12" s="7"/>
      <c r="G12" s="7"/>
      <c r="H12" s="7"/>
      <c r="I12" s="7"/>
      <c r="J12" s="14"/>
      <c r="K12" s="1"/>
      <c r="L12" s="1"/>
    </row>
    <row r="13" spans="1:12" ht="16.8" x14ac:dyDescent="0.4">
      <c r="A13" s="1"/>
      <c r="B13" s="14"/>
      <c r="C13" s="6"/>
      <c r="D13" s="15"/>
      <c r="E13" s="8"/>
      <c r="F13" s="7"/>
      <c r="G13" s="7"/>
      <c r="H13" s="7"/>
      <c r="I13" s="7"/>
      <c r="J13" s="14"/>
      <c r="K13" s="1"/>
      <c r="L13" s="1"/>
    </row>
    <row r="14" spans="1:12" ht="16.8" x14ac:dyDescent="0.4">
      <c r="A14" s="1"/>
      <c r="B14" s="14"/>
      <c r="C14" s="6"/>
      <c r="D14" s="15"/>
      <c r="E14" s="8"/>
      <c r="F14" s="7"/>
      <c r="G14" s="7"/>
      <c r="H14" s="7"/>
      <c r="I14" s="7"/>
      <c r="J14" s="14"/>
      <c r="K14" s="1"/>
      <c r="L14" s="1"/>
    </row>
    <row r="15" spans="1:12" ht="16.8" x14ac:dyDescent="0.4">
      <c r="A15" s="1"/>
      <c r="B15" s="14"/>
      <c r="C15" s="6"/>
      <c r="D15" s="15"/>
      <c r="E15" s="8"/>
      <c r="F15" s="7"/>
      <c r="G15" s="7"/>
      <c r="H15" s="7"/>
      <c r="I15" s="7"/>
      <c r="J15" s="14"/>
      <c r="K15" s="1"/>
      <c r="L15" s="1"/>
    </row>
    <row r="16" spans="1:12" ht="16.8" x14ac:dyDescent="0.4">
      <c r="A16" s="1"/>
      <c r="B16" s="14"/>
      <c r="C16" s="6"/>
      <c r="D16" s="15"/>
      <c r="E16" s="8"/>
      <c r="F16" s="7"/>
      <c r="G16" s="7"/>
      <c r="H16" s="7"/>
      <c r="I16" s="7"/>
      <c r="J16" s="14"/>
      <c r="K16" s="1"/>
      <c r="L16" s="1"/>
    </row>
    <row r="17" spans="1:12" ht="16.8" x14ac:dyDescent="0.4">
      <c r="A17" s="1"/>
      <c r="B17" s="14"/>
      <c r="C17" s="6"/>
      <c r="D17" s="15"/>
      <c r="E17" s="8"/>
      <c r="F17" s="7"/>
      <c r="G17" s="7"/>
      <c r="H17" s="7"/>
      <c r="I17" s="7"/>
      <c r="J17" s="14"/>
      <c r="K17" s="1"/>
      <c r="L17" s="1"/>
    </row>
    <row r="18" spans="1:12" ht="16.8" x14ac:dyDescent="0.4">
      <c r="A18" s="1"/>
      <c r="B18" s="14"/>
      <c r="C18" s="6"/>
      <c r="D18" s="15"/>
      <c r="E18" s="8"/>
      <c r="F18" s="7"/>
      <c r="G18" s="7"/>
      <c r="H18" s="7"/>
      <c r="I18" s="7"/>
      <c r="J18" s="14"/>
      <c r="K18" s="1"/>
      <c r="L18" s="1"/>
    </row>
    <row r="19" spans="1:12" ht="16.8" x14ac:dyDescent="0.4">
      <c r="A19" s="1"/>
      <c r="B19" s="14"/>
      <c r="C19" s="6"/>
      <c r="D19" s="15"/>
      <c r="E19" s="8"/>
      <c r="F19" s="7"/>
      <c r="G19" s="7"/>
      <c r="H19" s="7"/>
      <c r="I19" s="7"/>
      <c r="J19" s="14"/>
      <c r="K19" s="1"/>
      <c r="L19" s="1"/>
    </row>
    <row r="20" spans="1:12" ht="16.8" x14ac:dyDescent="0.4">
      <c r="A20" s="1"/>
      <c r="B20" s="14"/>
      <c r="C20" s="6"/>
      <c r="D20" s="15"/>
      <c r="E20" s="8"/>
      <c r="F20" s="7"/>
      <c r="G20" s="7"/>
      <c r="H20" s="7"/>
      <c r="I20" s="7"/>
      <c r="J20" s="14"/>
      <c r="K20" s="1"/>
      <c r="L20" s="1"/>
    </row>
    <row r="21" spans="1:12" ht="16.8" x14ac:dyDescent="0.4">
      <c r="A21" s="1"/>
      <c r="B21" s="14"/>
      <c r="C21" s="6"/>
      <c r="D21" s="15"/>
      <c r="E21" s="8"/>
      <c r="F21" s="7"/>
      <c r="G21" s="7"/>
      <c r="H21" s="7"/>
      <c r="I21" s="7"/>
      <c r="J21" s="14"/>
      <c r="K21" s="1"/>
      <c r="L21" s="1"/>
    </row>
    <row r="22" spans="1:12" ht="16.8" x14ac:dyDescent="0.4">
      <c r="A22" s="1"/>
      <c r="B22" s="14"/>
      <c r="C22" s="6"/>
      <c r="D22" s="15"/>
      <c r="E22" s="8"/>
      <c r="F22" s="7"/>
      <c r="G22" s="7"/>
      <c r="H22" s="7"/>
      <c r="I22" s="7"/>
      <c r="J22" s="14"/>
      <c r="K22" s="1"/>
      <c r="L22" s="1"/>
    </row>
    <row r="23" spans="1:12" ht="16.8" x14ac:dyDescent="0.4">
      <c r="A23" s="1"/>
      <c r="B23" s="14"/>
      <c r="C23" s="6"/>
      <c r="D23" s="15"/>
      <c r="E23" s="8"/>
      <c r="F23" s="7"/>
      <c r="G23" s="7"/>
      <c r="H23" s="7"/>
      <c r="I23" s="7"/>
      <c r="J23" s="14"/>
      <c r="K23" s="1"/>
      <c r="L23" s="1"/>
    </row>
    <row r="24" spans="1:12" ht="16.8" x14ac:dyDescent="0.4">
      <c r="A24" s="1"/>
      <c r="B24" s="14"/>
      <c r="C24" s="6"/>
      <c r="D24" s="15"/>
      <c r="E24" s="8"/>
      <c r="F24" s="7"/>
      <c r="G24" s="7"/>
      <c r="H24" s="7"/>
      <c r="I24" s="7"/>
      <c r="J24" s="14"/>
      <c r="K24" s="1"/>
      <c r="L24" s="1"/>
    </row>
    <row r="25" spans="1:12" ht="16.8" x14ac:dyDescent="0.4">
      <c r="A25" s="1"/>
      <c r="B25" s="14"/>
      <c r="C25" s="6"/>
      <c r="D25" s="15"/>
      <c r="E25" s="8"/>
      <c r="F25" s="7"/>
      <c r="G25" s="7"/>
      <c r="H25" s="7"/>
      <c r="I25" s="7"/>
      <c r="J25" s="14"/>
      <c r="K25" s="1"/>
      <c r="L25" s="1"/>
    </row>
    <row r="26" spans="1:12" ht="16.8" x14ac:dyDescent="0.4">
      <c r="A26" s="1"/>
      <c r="B26" s="14"/>
      <c r="C26" s="6"/>
      <c r="D26" s="15"/>
      <c r="E26" s="8"/>
      <c r="F26" s="7"/>
      <c r="G26" s="7"/>
      <c r="H26" s="7"/>
      <c r="I26" s="7"/>
      <c r="J26" s="14"/>
      <c r="K26" s="1"/>
      <c r="L26" s="1"/>
    </row>
    <row r="27" spans="1:12" ht="16.8" x14ac:dyDescent="0.4">
      <c r="A27" s="1"/>
      <c r="B27" s="14"/>
      <c r="C27" s="6"/>
      <c r="D27" s="15"/>
      <c r="E27" s="8"/>
      <c r="F27" s="7"/>
      <c r="G27" s="7"/>
      <c r="H27" s="7"/>
      <c r="I27" s="7"/>
      <c r="J27" s="14"/>
      <c r="K27" s="1"/>
      <c r="L27" s="1"/>
    </row>
    <row r="28" spans="1:12" ht="16.8" x14ac:dyDescent="0.4">
      <c r="A28" s="1"/>
      <c r="B28" s="14"/>
      <c r="C28" s="6"/>
      <c r="D28" s="15"/>
      <c r="E28" s="8"/>
      <c r="F28" s="7"/>
      <c r="G28" s="7"/>
      <c r="H28" s="7"/>
      <c r="I28" s="7"/>
      <c r="J28" s="14"/>
      <c r="K28" s="1"/>
      <c r="L28" s="1"/>
    </row>
    <row r="29" spans="1:12" ht="16.8" x14ac:dyDescent="0.4">
      <c r="A29" s="1"/>
      <c r="B29" s="14"/>
      <c r="C29" s="6"/>
      <c r="D29" s="15"/>
      <c r="E29" s="8"/>
      <c r="F29" s="7"/>
      <c r="G29" s="7"/>
      <c r="H29" s="7"/>
      <c r="I29" s="7"/>
      <c r="J29" s="14"/>
      <c r="K29" s="1"/>
      <c r="L29" s="1"/>
    </row>
    <row r="30" spans="1:12" ht="16.8" x14ac:dyDescent="0.4">
      <c r="A30" s="1"/>
      <c r="B30" s="14"/>
      <c r="C30" s="6"/>
      <c r="D30" s="15"/>
      <c r="E30" s="8"/>
      <c r="F30" s="7"/>
      <c r="G30" s="7"/>
      <c r="H30" s="7"/>
      <c r="I30" s="7"/>
      <c r="J30" s="14"/>
      <c r="K30" s="1"/>
      <c r="L30" s="1"/>
    </row>
    <row r="31" spans="1:12" ht="16.8" x14ac:dyDescent="0.4">
      <c r="A31" s="1"/>
      <c r="B31" s="14"/>
      <c r="C31" s="6"/>
      <c r="D31" s="15"/>
      <c r="E31" s="8"/>
      <c r="F31" s="7"/>
      <c r="G31" s="7"/>
      <c r="H31" s="7"/>
      <c r="I31" s="7"/>
      <c r="J31" s="14"/>
      <c r="K31" s="1"/>
      <c r="L31" s="1"/>
    </row>
    <row r="32" spans="1:12" ht="16.8" x14ac:dyDescent="0.4">
      <c r="A32" s="1"/>
      <c r="B32" s="14"/>
      <c r="C32" s="6"/>
      <c r="D32" s="15"/>
      <c r="E32" s="8"/>
      <c r="F32" s="7"/>
      <c r="G32" s="7"/>
      <c r="H32" s="7"/>
      <c r="I32" s="7"/>
      <c r="J32" s="14"/>
      <c r="K32" s="1"/>
      <c r="L32" s="1"/>
    </row>
    <row r="33" spans="1:12" ht="16.8" x14ac:dyDescent="0.4">
      <c r="A33" s="1"/>
      <c r="B33" s="14"/>
      <c r="C33" s="6"/>
      <c r="D33" s="15"/>
      <c r="E33" s="8"/>
      <c r="F33" s="7"/>
      <c r="G33" s="7"/>
      <c r="H33" s="7"/>
      <c r="I33" s="7"/>
      <c r="J33" s="14"/>
      <c r="K33" s="1"/>
      <c r="L33" s="1"/>
    </row>
    <row r="34" spans="1:12" ht="16.8" x14ac:dyDescent="0.4">
      <c r="A34" s="1"/>
      <c r="B34" s="14"/>
      <c r="C34" s="6"/>
      <c r="D34" s="15"/>
      <c r="E34" s="8"/>
      <c r="F34" s="7"/>
      <c r="G34" s="7"/>
      <c r="H34" s="7"/>
      <c r="I34" s="7"/>
      <c r="J34" s="14"/>
      <c r="K34" s="1"/>
      <c r="L34" s="1"/>
    </row>
    <row r="35" spans="1:12" ht="16.8" x14ac:dyDescent="0.4">
      <c r="A35" s="1"/>
      <c r="B35" s="14"/>
      <c r="C35" s="6"/>
      <c r="D35" s="15"/>
      <c r="E35" s="8"/>
      <c r="F35" s="7"/>
      <c r="G35" s="7"/>
      <c r="H35" s="7"/>
      <c r="I35" s="7"/>
      <c r="J35" s="14"/>
      <c r="K35" s="1"/>
      <c r="L35" s="1"/>
    </row>
    <row r="36" spans="1:12" ht="16.8" x14ac:dyDescent="0.4">
      <c r="A36" s="1"/>
      <c r="B36" s="14"/>
      <c r="C36" s="6"/>
      <c r="D36" s="15"/>
      <c r="E36" s="8"/>
      <c r="F36" s="7"/>
      <c r="G36" s="7"/>
      <c r="H36" s="7"/>
      <c r="I36" s="7"/>
      <c r="J36" s="14"/>
      <c r="K36" s="1"/>
      <c r="L36" s="1"/>
    </row>
    <row r="37" spans="1:12" ht="16.8" x14ac:dyDescent="0.4">
      <c r="A37" s="1"/>
      <c r="B37" s="14"/>
      <c r="C37" s="6"/>
      <c r="D37" s="15"/>
      <c r="E37" s="8"/>
      <c r="F37" s="7"/>
      <c r="G37" s="7"/>
      <c r="H37" s="7"/>
      <c r="I37" s="7"/>
      <c r="J37" s="14"/>
      <c r="K37" s="1"/>
      <c r="L37" s="1"/>
    </row>
    <row r="38" spans="1:12" ht="16.8" x14ac:dyDescent="0.4">
      <c r="A38" s="1"/>
      <c r="B38" s="14"/>
      <c r="C38" s="6"/>
      <c r="D38" s="15"/>
      <c r="E38" s="8"/>
      <c r="F38" s="7"/>
      <c r="G38" s="7"/>
      <c r="H38" s="7"/>
      <c r="I38" s="7"/>
      <c r="J38" s="14"/>
      <c r="K38" s="1"/>
      <c r="L38" s="1"/>
    </row>
    <row r="39" spans="1:12" ht="16.8" x14ac:dyDescent="0.4">
      <c r="A39" s="1"/>
      <c r="B39" s="14"/>
      <c r="C39" s="6"/>
      <c r="D39" s="15"/>
      <c r="E39" s="8"/>
      <c r="F39" s="7"/>
      <c r="G39" s="7"/>
      <c r="H39" s="7"/>
      <c r="I39" s="7"/>
      <c r="J39" s="14"/>
      <c r="K39" s="1"/>
      <c r="L39" s="1"/>
    </row>
    <row r="40" spans="1:12" ht="16.8" x14ac:dyDescent="0.4">
      <c r="A40" s="1"/>
      <c r="B40" s="14"/>
      <c r="C40" s="6"/>
      <c r="D40" s="15"/>
      <c r="E40" s="8"/>
      <c r="F40" s="7"/>
      <c r="G40" s="7"/>
      <c r="H40" s="7"/>
      <c r="I40" s="7"/>
      <c r="J40" s="14"/>
      <c r="K40" s="1"/>
      <c r="L40" s="1"/>
    </row>
    <row r="41" spans="1:12" ht="16.8" x14ac:dyDescent="0.4">
      <c r="A41" s="1"/>
      <c r="B41" s="14"/>
      <c r="C41" s="6"/>
      <c r="D41" s="15"/>
      <c r="E41" s="8"/>
      <c r="F41" s="7"/>
      <c r="G41" s="7"/>
      <c r="H41" s="7"/>
      <c r="I41" s="7"/>
      <c r="J41" s="14"/>
      <c r="K41" s="1"/>
      <c r="L41" s="1"/>
    </row>
    <row r="42" spans="1:12" ht="16.8" x14ac:dyDescent="0.4">
      <c r="A42" s="1"/>
      <c r="B42" s="14"/>
      <c r="C42" s="6"/>
      <c r="D42" s="15"/>
      <c r="E42" s="8"/>
      <c r="F42" s="7"/>
      <c r="G42" s="7"/>
      <c r="H42" s="7"/>
      <c r="I42" s="7"/>
      <c r="J42" s="14"/>
      <c r="K42" s="1"/>
      <c r="L42" s="1"/>
    </row>
    <row r="43" spans="1:12" ht="16.8" x14ac:dyDescent="0.4">
      <c r="A43" s="1"/>
      <c r="B43" s="14"/>
      <c r="C43" s="6"/>
      <c r="D43" s="15"/>
      <c r="E43" s="8"/>
      <c r="F43" s="7"/>
      <c r="G43" s="7"/>
      <c r="H43" s="7"/>
      <c r="I43" s="7"/>
      <c r="J43" s="14"/>
      <c r="K43" s="1"/>
      <c r="L43" s="1"/>
    </row>
    <row r="44" spans="1:12" ht="16.8" x14ac:dyDescent="0.4">
      <c r="A44" s="1"/>
      <c r="B44" s="14"/>
      <c r="C44" s="6"/>
      <c r="D44" s="15"/>
      <c r="E44" s="8"/>
      <c r="F44" s="7"/>
      <c r="G44" s="7"/>
      <c r="H44" s="7"/>
      <c r="I44" s="7"/>
      <c r="J44" s="14"/>
      <c r="K44" s="1"/>
      <c r="L44" s="1"/>
    </row>
    <row r="45" spans="1:12" ht="16.8" x14ac:dyDescent="0.4">
      <c r="A45" s="1"/>
      <c r="B45" s="14"/>
      <c r="C45" s="6"/>
      <c r="D45" s="15"/>
      <c r="E45" s="8"/>
      <c r="F45" s="7"/>
      <c r="G45" s="7"/>
      <c r="H45" s="7"/>
      <c r="I45" s="7"/>
      <c r="J45" s="14"/>
      <c r="K45" s="1"/>
      <c r="L45" s="1"/>
    </row>
    <row r="46" spans="1:12" ht="16.8" x14ac:dyDescent="0.4">
      <c r="A46" s="1"/>
      <c r="B46" s="14"/>
      <c r="C46" s="6"/>
      <c r="D46" s="15"/>
      <c r="E46" s="8"/>
      <c r="F46" s="7"/>
      <c r="G46" s="7"/>
      <c r="H46" s="7"/>
      <c r="I46" s="7"/>
      <c r="J46" s="14"/>
      <c r="K46" s="1"/>
      <c r="L46" s="1"/>
    </row>
    <row r="47" spans="1:12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honeticPr fontId="19"/>
  <conditionalFormatting sqref="B7:J46">
    <cfRule type="expression" dxfId="0" priority="1">
      <formula>$I7="OFF"</formula>
    </cfRule>
  </conditionalFormatting>
  <dataValidations count="6">
    <dataValidation type="list" allowBlank="1" sqref="F7:F46" xr:uid="{00000000-0002-0000-0300-000000000000}">
      <formula1>支払方法リスト</formula1>
    </dataValidation>
    <dataValidation type="list" allowBlank="1" sqref="G7:G46" xr:uid="{00000000-0002-0000-0300-000001000000}">
      <formula1>口座リスト</formula1>
    </dataValidation>
    <dataValidation type="list" allowBlank="1" sqref="H7:H46" xr:uid="{00000000-0002-0000-0300-000002000000}">
      <formula1>カテゴリリスト</formula1>
    </dataValidation>
    <dataValidation type="list" allowBlank="1" sqref="I7:I46" xr:uid="{00000000-0002-0000-0300-000003000000}">
      <formula1>"ON,OFF"</formula1>
    </dataValidation>
    <dataValidation type="decimal" operator="greaterThan" allowBlank="1" sqref="E7:E46" xr:uid="{00000000-0002-0000-0300-000004000000}">
      <formula1>0</formula1>
    </dataValidation>
    <dataValidation type="whole" allowBlank="1" sqref="D7:D46" xr:uid="{00000000-0002-0000-0300-000005000000}">
      <formula1>1</formula1>
      <formula2>31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ReflectSubscriptions">
                <anchor moveWithCells="1" sizeWithCells="1">
                  <from>
                    <xdr:col>1</xdr:col>
                    <xdr:colOff>0</xdr:colOff>
                    <xdr:row>3</xdr:row>
                    <xdr:rowOff>7620</xdr:rowOff>
                  </from>
                  <to>
                    <xdr:col>2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9E2AF"/>
  </sheetPr>
  <dimension ref="A1:N60"/>
  <sheetViews>
    <sheetView showGridLines="0" workbookViewId="0"/>
  </sheetViews>
  <sheetFormatPr defaultRowHeight="13.2" x14ac:dyDescent="0.2"/>
  <cols>
    <col min="1" max="1" width="2" customWidth="1"/>
    <col min="2" max="2" width="11" customWidth="1"/>
    <col min="3" max="5" width="12" customWidth="1"/>
    <col min="6" max="6" width="9" customWidth="1"/>
    <col min="7" max="7" width="13" customWidth="1"/>
    <col min="8" max="8" width="2" customWidth="1"/>
    <col min="9" max="9" width="8" customWidth="1"/>
    <col min="10" max="12" width="13" customWidth="1"/>
  </cols>
  <sheetData>
    <row r="1" spans="1:14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9.4" x14ac:dyDescent="0.4">
      <c r="A2" s="1"/>
      <c r="B2" s="2" t="s">
        <v>74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16.8" x14ac:dyDescent="0.4">
      <c r="A3" s="1"/>
      <c r="B3" s="3" t="s">
        <v>75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6.8" x14ac:dyDescent="0.4">
      <c r="A4" s="1"/>
      <c r="B4" s="4" t="s">
        <v>76</v>
      </c>
      <c r="C4" s="1"/>
      <c r="D4" s="1"/>
      <c r="E4" s="1"/>
      <c r="F4" s="1"/>
      <c r="G4" s="1"/>
      <c r="H4" s="1"/>
      <c r="I4" s="4" t="s">
        <v>77</v>
      </c>
      <c r="J4" s="1"/>
      <c r="K4" s="1"/>
      <c r="L4" s="1"/>
      <c r="M4" s="1"/>
      <c r="N4" s="1"/>
    </row>
    <row r="5" spans="1:14" ht="16.8" x14ac:dyDescent="0.4">
      <c r="A5" s="1"/>
      <c r="B5" s="18" t="s">
        <v>18</v>
      </c>
      <c r="C5" s="18" t="s">
        <v>19</v>
      </c>
      <c r="D5" s="18" t="s">
        <v>28</v>
      </c>
      <c r="E5" s="18" t="s">
        <v>78</v>
      </c>
      <c r="F5" s="18" t="s">
        <v>79</v>
      </c>
      <c r="G5" s="18" t="s">
        <v>80</v>
      </c>
      <c r="H5" s="1"/>
      <c r="I5" s="18" t="s">
        <v>81</v>
      </c>
      <c r="J5" s="18" t="s">
        <v>82</v>
      </c>
      <c r="K5" s="18" t="s">
        <v>83</v>
      </c>
      <c r="L5" s="18" t="s">
        <v>84</v>
      </c>
      <c r="M5" s="1"/>
      <c r="N5" s="1"/>
    </row>
    <row r="6" spans="1:14" ht="16.8" x14ac:dyDescent="0.4">
      <c r="A6" s="1"/>
      <c r="B6" s="19" t="str">
        <f>TEXT(EDATE(DATEVALUE(集計開始年月&amp;"-01"),0),"yyyy-mm")</f>
        <v>2026-01</v>
      </c>
      <c r="C6" s="8">
        <f>SUMIFS(T_Txn[金額],T_Txn[種類],"収入",T_Txn[年月],$B6)</f>
        <v>0</v>
      </c>
      <c r="D6" s="8">
        <f>SUMIFS(T_Txn[金額],T_Txn[種類],"支出",T_Txn[年月],$B6)</f>
        <v>0</v>
      </c>
      <c r="E6" s="20">
        <f t="shared" ref="E6:E29" si="0">C6-D6</f>
        <v>0</v>
      </c>
      <c r="F6" s="21" t="str">
        <f t="shared" ref="F6:F29" si="1">IFERROR(E6/C6,"")</f>
        <v/>
      </c>
      <c r="G6" s="8" t="str">
        <f>IFERROR(INDEX(T_Snap[総資産],MATCH($B6,T_Snap[年月],0)),"")</f>
        <v/>
      </c>
      <c r="H6" s="1"/>
      <c r="I6" s="19">
        <f>VALUE(LEFT(集計開始年月,4))+0</f>
        <v>2026</v>
      </c>
      <c r="J6" s="8">
        <f>SUMPRODUCT((LEFT(T_Txn[年月],4)=$I6&amp;"")*(T_Txn[種類]="収入")*T_Txn[金額])</f>
        <v>258000</v>
      </c>
      <c r="K6" s="8">
        <f>SUMPRODUCT((LEFT(T_Txn[年月],4)=$I6&amp;"")*(T_Txn[種類]="支出")*T_Txn[金額])</f>
        <v>110000</v>
      </c>
      <c r="L6" s="20">
        <f>J6-K6</f>
        <v>148000</v>
      </c>
      <c r="M6" s="1"/>
      <c r="N6" s="1"/>
    </row>
    <row r="7" spans="1:14" ht="16.8" x14ac:dyDescent="0.4">
      <c r="A7" s="1"/>
      <c r="B7" s="19" t="str">
        <f>TEXT(EDATE(DATEVALUE(集計開始年月&amp;"-01"),1),"yyyy-mm")</f>
        <v>2026-02</v>
      </c>
      <c r="C7" s="8">
        <f>SUMIFS(T_Txn[金額],T_Txn[種類],"収入",T_Txn[年月],$B7)</f>
        <v>0</v>
      </c>
      <c r="D7" s="8">
        <f>SUMIFS(T_Txn[金額],T_Txn[種類],"支出",T_Txn[年月],$B7)</f>
        <v>0</v>
      </c>
      <c r="E7" s="20">
        <f t="shared" si="0"/>
        <v>0</v>
      </c>
      <c r="F7" s="21" t="str">
        <f t="shared" si="1"/>
        <v/>
      </c>
      <c r="G7" s="8" t="str">
        <f>IFERROR(INDEX(T_Snap[総資産],MATCH($B7,T_Snap[年月],0)),"")</f>
        <v/>
      </c>
      <c r="H7" s="1"/>
      <c r="I7" s="19">
        <f>VALUE(LEFT(集計開始年月,4))+1</f>
        <v>2027</v>
      </c>
      <c r="J7" s="8">
        <f>SUMPRODUCT((LEFT(T_Txn[年月],4)=$I7&amp;"")*(T_Txn[種類]="収入")*T_Txn[金額])</f>
        <v>0</v>
      </c>
      <c r="K7" s="8">
        <f>SUMPRODUCT((LEFT(T_Txn[年月],4)=$I7&amp;"")*(T_Txn[種類]="支出")*T_Txn[金額])</f>
        <v>0</v>
      </c>
      <c r="L7" s="20">
        <f>J7-K7</f>
        <v>0</v>
      </c>
      <c r="M7" s="1"/>
      <c r="N7" s="1"/>
    </row>
    <row r="8" spans="1:14" ht="16.8" x14ac:dyDescent="0.4">
      <c r="A8" s="1"/>
      <c r="B8" s="19" t="str">
        <f>TEXT(EDATE(DATEVALUE(集計開始年月&amp;"-01"),2),"yyyy-mm")</f>
        <v>2026-03</v>
      </c>
      <c r="C8" s="8">
        <f>SUMIFS(T_Txn[金額],T_Txn[種類],"収入",T_Txn[年月],$B8)</f>
        <v>0</v>
      </c>
      <c r="D8" s="8">
        <f>SUMIFS(T_Txn[金額],T_Txn[種類],"支出",T_Txn[年月],$B8)</f>
        <v>0</v>
      </c>
      <c r="E8" s="20">
        <f t="shared" si="0"/>
        <v>0</v>
      </c>
      <c r="F8" s="21" t="str">
        <f t="shared" si="1"/>
        <v/>
      </c>
      <c r="G8" s="8" t="str">
        <f>IFERROR(INDEX(T_Snap[総資産],MATCH($B8,T_Snap[年月],0)),"")</f>
        <v/>
      </c>
      <c r="H8" s="1"/>
      <c r="I8" s="19">
        <f>VALUE(LEFT(集計開始年月,4))+2</f>
        <v>2028</v>
      </c>
      <c r="J8" s="8">
        <f>SUMPRODUCT((LEFT(T_Txn[年月],4)=$I8&amp;"")*(T_Txn[種類]="収入")*T_Txn[金額])</f>
        <v>0</v>
      </c>
      <c r="K8" s="8">
        <f>SUMPRODUCT((LEFT(T_Txn[年月],4)=$I8&amp;"")*(T_Txn[種類]="支出")*T_Txn[金額])</f>
        <v>0</v>
      </c>
      <c r="L8" s="20">
        <f>J8-K8</f>
        <v>0</v>
      </c>
      <c r="M8" s="1"/>
      <c r="N8" s="1"/>
    </row>
    <row r="9" spans="1:14" ht="16.8" x14ac:dyDescent="0.4">
      <c r="A9" s="1"/>
      <c r="B9" s="19" t="str">
        <f>TEXT(EDATE(DATEVALUE(集計開始年月&amp;"-01"),3),"yyyy-mm")</f>
        <v>2026-04</v>
      </c>
      <c r="C9" s="8">
        <f>SUMIFS(T_Txn[金額],T_Txn[種類],"収入",T_Txn[年月],$B9)</f>
        <v>0</v>
      </c>
      <c r="D9" s="8">
        <f>SUMIFS(T_Txn[金額],T_Txn[種類],"支出",T_Txn[年月],$B9)</f>
        <v>0</v>
      </c>
      <c r="E9" s="20">
        <f t="shared" si="0"/>
        <v>0</v>
      </c>
      <c r="F9" s="21" t="str">
        <f t="shared" si="1"/>
        <v/>
      </c>
      <c r="G9" s="8" t="str">
        <f>IFERROR(INDEX(T_Snap[総資産],MATCH($B9,T_Snap[年月],0)),"")</f>
        <v/>
      </c>
      <c r="H9" s="1"/>
      <c r="I9" s="1"/>
      <c r="J9" s="1"/>
      <c r="K9" s="1"/>
      <c r="L9" s="1"/>
      <c r="M9" s="1"/>
      <c r="N9" s="1"/>
    </row>
    <row r="10" spans="1:14" ht="16.8" x14ac:dyDescent="0.4">
      <c r="A10" s="1"/>
      <c r="B10" s="19" t="str">
        <f>TEXT(EDATE(DATEVALUE(集計開始年月&amp;"-01"),4),"yyyy-mm")</f>
        <v>2026-05</v>
      </c>
      <c r="C10" s="8">
        <f>SUMIFS(T_Txn[金額],T_Txn[種類],"収入",T_Txn[年月],$B10)</f>
        <v>0</v>
      </c>
      <c r="D10" s="8">
        <f>SUMIFS(T_Txn[金額],T_Txn[種類],"支出",T_Txn[年月],$B10)</f>
        <v>0</v>
      </c>
      <c r="E10" s="20">
        <f t="shared" si="0"/>
        <v>0</v>
      </c>
      <c r="F10" s="21" t="str">
        <f t="shared" si="1"/>
        <v/>
      </c>
      <c r="G10" s="8" t="str">
        <f>IFERROR(INDEX(T_Snap[総資産],MATCH($B10,T_Snap[年月],0)),"")</f>
        <v/>
      </c>
      <c r="H10" s="1"/>
      <c r="I10" s="1"/>
      <c r="J10" s="1"/>
      <c r="K10" s="1"/>
      <c r="L10" s="1"/>
      <c r="M10" s="1"/>
      <c r="N10" s="1"/>
    </row>
    <row r="11" spans="1:14" ht="16.8" x14ac:dyDescent="0.4">
      <c r="A11" s="1"/>
      <c r="B11" s="19" t="str">
        <f>TEXT(EDATE(DATEVALUE(集計開始年月&amp;"-01"),5),"yyyy-mm")</f>
        <v>2026-06</v>
      </c>
      <c r="C11" s="8">
        <f>SUMIFS(T_Txn[金額],T_Txn[種類],"収入",T_Txn[年月],$B11)</f>
        <v>0</v>
      </c>
      <c r="D11" s="8">
        <f>SUMIFS(T_Txn[金額],T_Txn[種類],"支出",T_Txn[年月],$B11)</f>
        <v>0</v>
      </c>
      <c r="E11" s="20">
        <f t="shared" si="0"/>
        <v>0</v>
      </c>
      <c r="F11" s="21" t="str">
        <f t="shared" si="1"/>
        <v/>
      </c>
      <c r="G11" s="8" t="str">
        <f>IFERROR(INDEX(T_Snap[総資産],MATCH($B11,T_Snap[年月],0)),"")</f>
        <v/>
      </c>
      <c r="H11" s="1"/>
      <c r="I11" s="1"/>
      <c r="J11" s="1"/>
      <c r="K11" s="1"/>
      <c r="L11" s="1"/>
      <c r="M11" s="1"/>
      <c r="N11" s="1"/>
    </row>
    <row r="12" spans="1:14" ht="16.8" x14ac:dyDescent="0.4">
      <c r="A12" s="1"/>
      <c r="B12" s="19" t="str">
        <f>TEXT(EDATE(DATEVALUE(集計開始年月&amp;"-01"),6),"yyyy-mm")</f>
        <v>2026-07</v>
      </c>
      <c r="C12" s="8">
        <f>SUMIFS(T_Txn[金額],T_Txn[種類],"収入",T_Txn[年月],$B12)</f>
        <v>258000</v>
      </c>
      <c r="D12" s="8">
        <f>SUMIFS(T_Txn[金額],T_Txn[種類],"支出",T_Txn[年月],$B12)</f>
        <v>110000</v>
      </c>
      <c r="E12" s="20">
        <f t="shared" si="0"/>
        <v>148000</v>
      </c>
      <c r="F12" s="21">
        <f t="shared" si="1"/>
        <v>0.5736434108527132</v>
      </c>
      <c r="G12" s="8">
        <f>IFERROR(INDEX(T_Snap[総資産],MATCH($B12,T_Snap[年月],0)),"")</f>
        <v>148300</v>
      </c>
      <c r="H12" s="1"/>
      <c r="I12" s="1"/>
      <c r="J12" s="1"/>
      <c r="K12" s="1"/>
      <c r="L12" s="1"/>
      <c r="M12" s="1"/>
      <c r="N12" s="1"/>
    </row>
    <row r="13" spans="1:14" ht="16.8" x14ac:dyDescent="0.4">
      <c r="A13" s="1"/>
      <c r="B13" s="19" t="str">
        <f>TEXT(EDATE(DATEVALUE(集計開始年月&amp;"-01"),7),"yyyy-mm")</f>
        <v>2026-08</v>
      </c>
      <c r="C13" s="8">
        <f>SUMIFS(T_Txn[金額],T_Txn[種類],"収入",T_Txn[年月],$B13)</f>
        <v>0</v>
      </c>
      <c r="D13" s="8">
        <f>SUMIFS(T_Txn[金額],T_Txn[種類],"支出",T_Txn[年月],$B13)</f>
        <v>0</v>
      </c>
      <c r="E13" s="20">
        <f t="shared" si="0"/>
        <v>0</v>
      </c>
      <c r="F13" s="21" t="str">
        <f t="shared" si="1"/>
        <v/>
      </c>
      <c r="G13" s="8" t="str">
        <f>IFERROR(INDEX(T_Snap[総資産],MATCH($B13,T_Snap[年月],0)),"")</f>
        <v/>
      </c>
      <c r="H13" s="1"/>
      <c r="I13" s="1"/>
      <c r="J13" s="1"/>
      <c r="K13" s="1"/>
      <c r="L13" s="1"/>
      <c r="M13" s="1"/>
      <c r="N13" s="1"/>
    </row>
    <row r="14" spans="1:14" ht="16.8" x14ac:dyDescent="0.4">
      <c r="A14" s="1"/>
      <c r="B14" s="19" t="str">
        <f>TEXT(EDATE(DATEVALUE(集計開始年月&amp;"-01"),8),"yyyy-mm")</f>
        <v>2026-09</v>
      </c>
      <c r="C14" s="8">
        <f>SUMIFS(T_Txn[金額],T_Txn[種類],"収入",T_Txn[年月],$B14)</f>
        <v>0</v>
      </c>
      <c r="D14" s="8">
        <f>SUMIFS(T_Txn[金額],T_Txn[種類],"支出",T_Txn[年月],$B14)</f>
        <v>0</v>
      </c>
      <c r="E14" s="20">
        <f t="shared" si="0"/>
        <v>0</v>
      </c>
      <c r="F14" s="21" t="str">
        <f t="shared" si="1"/>
        <v/>
      </c>
      <c r="G14" s="8" t="str">
        <f>IFERROR(INDEX(T_Snap[総資産],MATCH($B14,T_Snap[年月],0)),"")</f>
        <v/>
      </c>
      <c r="H14" s="1"/>
      <c r="I14" s="1"/>
      <c r="J14" s="1"/>
      <c r="K14" s="1"/>
      <c r="L14" s="1"/>
      <c r="M14" s="1"/>
      <c r="N14" s="1"/>
    </row>
    <row r="15" spans="1:14" ht="16.8" x14ac:dyDescent="0.4">
      <c r="A15" s="1"/>
      <c r="B15" s="19" t="str">
        <f>TEXT(EDATE(DATEVALUE(集計開始年月&amp;"-01"),9),"yyyy-mm")</f>
        <v>2026-10</v>
      </c>
      <c r="C15" s="8">
        <f>SUMIFS(T_Txn[金額],T_Txn[種類],"収入",T_Txn[年月],$B15)</f>
        <v>0</v>
      </c>
      <c r="D15" s="8">
        <f>SUMIFS(T_Txn[金額],T_Txn[種類],"支出",T_Txn[年月],$B15)</f>
        <v>0</v>
      </c>
      <c r="E15" s="20">
        <f t="shared" si="0"/>
        <v>0</v>
      </c>
      <c r="F15" s="21" t="str">
        <f t="shared" si="1"/>
        <v/>
      </c>
      <c r="G15" s="8" t="str">
        <f>IFERROR(INDEX(T_Snap[総資産],MATCH($B15,T_Snap[年月],0)),"")</f>
        <v/>
      </c>
      <c r="H15" s="1"/>
      <c r="I15" s="1"/>
      <c r="J15" s="1"/>
      <c r="K15" s="1"/>
      <c r="L15" s="1"/>
      <c r="M15" s="1"/>
      <c r="N15" s="1"/>
    </row>
    <row r="16" spans="1:14" ht="16.8" x14ac:dyDescent="0.4">
      <c r="A16" s="1"/>
      <c r="B16" s="19" t="str">
        <f>TEXT(EDATE(DATEVALUE(集計開始年月&amp;"-01"),10),"yyyy-mm")</f>
        <v>2026-11</v>
      </c>
      <c r="C16" s="8">
        <f>SUMIFS(T_Txn[金額],T_Txn[種類],"収入",T_Txn[年月],$B16)</f>
        <v>0</v>
      </c>
      <c r="D16" s="8">
        <f>SUMIFS(T_Txn[金額],T_Txn[種類],"支出",T_Txn[年月],$B16)</f>
        <v>0</v>
      </c>
      <c r="E16" s="20">
        <f t="shared" si="0"/>
        <v>0</v>
      </c>
      <c r="F16" s="21" t="str">
        <f t="shared" si="1"/>
        <v/>
      </c>
      <c r="G16" s="8" t="str">
        <f>IFERROR(INDEX(T_Snap[総資産],MATCH($B16,T_Snap[年月],0)),"")</f>
        <v/>
      </c>
      <c r="H16" s="1"/>
      <c r="I16" s="1"/>
      <c r="J16" s="1"/>
      <c r="K16" s="1"/>
      <c r="L16" s="1"/>
      <c r="M16" s="1"/>
      <c r="N16" s="1"/>
    </row>
    <row r="17" spans="1:14" ht="16.8" x14ac:dyDescent="0.4">
      <c r="A17" s="1"/>
      <c r="B17" s="19" t="str">
        <f>TEXT(EDATE(DATEVALUE(集計開始年月&amp;"-01"),11),"yyyy-mm")</f>
        <v>2026-12</v>
      </c>
      <c r="C17" s="8">
        <f>SUMIFS(T_Txn[金額],T_Txn[種類],"収入",T_Txn[年月],$B17)</f>
        <v>0</v>
      </c>
      <c r="D17" s="8">
        <f>SUMIFS(T_Txn[金額],T_Txn[種類],"支出",T_Txn[年月],$B17)</f>
        <v>0</v>
      </c>
      <c r="E17" s="20">
        <f t="shared" si="0"/>
        <v>0</v>
      </c>
      <c r="F17" s="21" t="str">
        <f t="shared" si="1"/>
        <v/>
      </c>
      <c r="G17" s="8" t="str">
        <f>IFERROR(INDEX(T_Snap[総資産],MATCH($B17,T_Snap[年月],0)),"")</f>
        <v/>
      </c>
      <c r="H17" s="1"/>
      <c r="I17" s="1"/>
      <c r="J17" s="1"/>
      <c r="K17" s="1"/>
      <c r="L17" s="1"/>
      <c r="M17" s="1"/>
      <c r="N17" s="1"/>
    </row>
    <row r="18" spans="1:14" ht="16.8" x14ac:dyDescent="0.4">
      <c r="A18" s="1"/>
      <c r="B18" s="19" t="str">
        <f>TEXT(EDATE(DATEVALUE(集計開始年月&amp;"-01"),12),"yyyy-mm")</f>
        <v>2027-01</v>
      </c>
      <c r="C18" s="8">
        <f>SUMIFS(T_Txn[金額],T_Txn[種類],"収入",T_Txn[年月],$B18)</f>
        <v>0</v>
      </c>
      <c r="D18" s="8">
        <f>SUMIFS(T_Txn[金額],T_Txn[種類],"支出",T_Txn[年月],$B18)</f>
        <v>0</v>
      </c>
      <c r="E18" s="20">
        <f t="shared" si="0"/>
        <v>0</v>
      </c>
      <c r="F18" s="21" t="str">
        <f t="shared" si="1"/>
        <v/>
      </c>
      <c r="G18" s="8" t="str">
        <f>IFERROR(INDEX(T_Snap[総資産],MATCH($B18,T_Snap[年月],0)),"")</f>
        <v/>
      </c>
      <c r="H18" s="1"/>
      <c r="I18" s="1"/>
      <c r="J18" s="1"/>
      <c r="K18" s="1"/>
      <c r="L18" s="1"/>
      <c r="M18" s="1"/>
      <c r="N18" s="1"/>
    </row>
    <row r="19" spans="1:14" ht="16.8" x14ac:dyDescent="0.4">
      <c r="A19" s="1"/>
      <c r="B19" s="19" t="str">
        <f>TEXT(EDATE(DATEVALUE(集計開始年月&amp;"-01"),13),"yyyy-mm")</f>
        <v>2027-02</v>
      </c>
      <c r="C19" s="8">
        <f>SUMIFS(T_Txn[金額],T_Txn[種類],"収入",T_Txn[年月],$B19)</f>
        <v>0</v>
      </c>
      <c r="D19" s="8">
        <f>SUMIFS(T_Txn[金額],T_Txn[種類],"支出",T_Txn[年月],$B19)</f>
        <v>0</v>
      </c>
      <c r="E19" s="20">
        <f t="shared" si="0"/>
        <v>0</v>
      </c>
      <c r="F19" s="21" t="str">
        <f t="shared" si="1"/>
        <v/>
      </c>
      <c r="G19" s="8" t="str">
        <f>IFERROR(INDEX(T_Snap[総資産],MATCH($B19,T_Snap[年月],0)),"")</f>
        <v/>
      </c>
      <c r="H19" s="1"/>
      <c r="I19" s="1"/>
      <c r="J19" s="1"/>
      <c r="K19" s="1"/>
      <c r="L19" s="1"/>
      <c r="M19" s="1"/>
      <c r="N19" s="1"/>
    </row>
    <row r="20" spans="1:14" ht="16.8" x14ac:dyDescent="0.4">
      <c r="A20" s="1"/>
      <c r="B20" s="19" t="str">
        <f>TEXT(EDATE(DATEVALUE(集計開始年月&amp;"-01"),14),"yyyy-mm")</f>
        <v>2027-03</v>
      </c>
      <c r="C20" s="8">
        <f>SUMIFS(T_Txn[金額],T_Txn[種類],"収入",T_Txn[年月],$B20)</f>
        <v>0</v>
      </c>
      <c r="D20" s="8">
        <f>SUMIFS(T_Txn[金額],T_Txn[種類],"支出",T_Txn[年月],$B20)</f>
        <v>0</v>
      </c>
      <c r="E20" s="20">
        <f t="shared" si="0"/>
        <v>0</v>
      </c>
      <c r="F20" s="21" t="str">
        <f t="shared" si="1"/>
        <v/>
      </c>
      <c r="G20" s="8" t="str">
        <f>IFERROR(INDEX(T_Snap[総資産],MATCH($B20,T_Snap[年月],0)),"")</f>
        <v/>
      </c>
      <c r="H20" s="1"/>
      <c r="I20" s="1"/>
      <c r="J20" s="1"/>
      <c r="K20" s="1"/>
      <c r="L20" s="1"/>
      <c r="M20" s="1"/>
      <c r="N20" s="1"/>
    </row>
    <row r="21" spans="1:14" ht="16.8" x14ac:dyDescent="0.4">
      <c r="A21" s="1"/>
      <c r="B21" s="19" t="str">
        <f>TEXT(EDATE(DATEVALUE(集計開始年月&amp;"-01"),15),"yyyy-mm")</f>
        <v>2027-04</v>
      </c>
      <c r="C21" s="8">
        <f>SUMIFS(T_Txn[金額],T_Txn[種類],"収入",T_Txn[年月],$B21)</f>
        <v>0</v>
      </c>
      <c r="D21" s="8">
        <f>SUMIFS(T_Txn[金額],T_Txn[種類],"支出",T_Txn[年月],$B21)</f>
        <v>0</v>
      </c>
      <c r="E21" s="20">
        <f t="shared" si="0"/>
        <v>0</v>
      </c>
      <c r="F21" s="21" t="str">
        <f t="shared" si="1"/>
        <v/>
      </c>
      <c r="G21" s="8" t="str">
        <f>IFERROR(INDEX(T_Snap[総資産],MATCH($B21,T_Snap[年月],0)),"")</f>
        <v/>
      </c>
      <c r="H21" s="1"/>
      <c r="I21" s="1"/>
      <c r="J21" s="1"/>
      <c r="K21" s="1"/>
      <c r="L21" s="1"/>
      <c r="M21" s="1"/>
      <c r="N21" s="1"/>
    </row>
    <row r="22" spans="1:14" ht="16.8" x14ac:dyDescent="0.4">
      <c r="A22" s="1"/>
      <c r="B22" s="19" t="str">
        <f>TEXT(EDATE(DATEVALUE(集計開始年月&amp;"-01"),16),"yyyy-mm")</f>
        <v>2027-05</v>
      </c>
      <c r="C22" s="8">
        <f>SUMIFS(T_Txn[金額],T_Txn[種類],"収入",T_Txn[年月],$B22)</f>
        <v>0</v>
      </c>
      <c r="D22" s="8">
        <f>SUMIFS(T_Txn[金額],T_Txn[種類],"支出",T_Txn[年月],$B22)</f>
        <v>0</v>
      </c>
      <c r="E22" s="20">
        <f t="shared" si="0"/>
        <v>0</v>
      </c>
      <c r="F22" s="21" t="str">
        <f t="shared" si="1"/>
        <v/>
      </c>
      <c r="G22" s="8" t="str">
        <f>IFERROR(INDEX(T_Snap[総資産],MATCH($B22,T_Snap[年月],0)),"")</f>
        <v/>
      </c>
      <c r="H22" s="1"/>
      <c r="I22" s="1"/>
      <c r="J22" s="1"/>
      <c r="K22" s="1"/>
      <c r="L22" s="1"/>
      <c r="M22" s="1"/>
      <c r="N22" s="1"/>
    </row>
    <row r="23" spans="1:14" ht="16.8" x14ac:dyDescent="0.4">
      <c r="A23" s="1"/>
      <c r="B23" s="19" t="str">
        <f>TEXT(EDATE(DATEVALUE(集計開始年月&amp;"-01"),17),"yyyy-mm")</f>
        <v>2027-06</v>
      </c>
      <c r="C23" s="8">
        <f>SUMIFS(T_Txn[金額],T_Txn[種類],"収入",T_Txn[年月],$B23)</f>
        <v>0</v>
      </c>
      <c r="D23" s="8">
        <f>SUMIFS(T_Txn[金額],T_Txn[種類],"支出",T_Txn[年月],$B23)</f>
        <v>0</v>
      </c>
      <c r="E23" s="20">
        <f t="shared" si="0"/>
        <v>0</v>
      </c>
      <c r="F23" s="21" t="str">
        <f t="shared" si="1"/>
        <v/>
      </c>
      <c r="G23" s="8" t="str">
        <f>IFERROR(INDEX(T_Snap[総資産],MATCH($B23,T_Snap[年月],0)),"")</f>
        <v/>
      </c>
      <c r="H23" s="1"/>
      <c r="I23" s="1"/>
      <c r="J23" s="1"/>
      <c r="K23" s="1"/>
      <c r="L23" s="1"/>
      <c r="M23" s="1"/>
      <c r="N23" s="1"/>
    </row>
    <row r="24" spans="1:14" ht="16.8" x14ac:dyDescent="0.4">
      <c r="A24" s="1"/>
      <c r="B24" s="19" t="str">
        <f>TEXT(EDATE(DATEVALUE(集計開始年月&amp;"-01"),18),"yyyy-mm")</f>
        <v>2027-07</v>
      </c>
      <c r="C24" s="8">
        <f>SUMIFS(T_Txn[金額],T_Txn[種類],"収入",T_Txn[年月],$B24)</f>
        <v>0</v>
      </c>
      <c r="D24" s="8">
        <f>SUMIFS(T_Txn[金額],T_Txn[種類],"支出",T_Txn[年月],$B24)</f>
        <v>0</v>
      </c>
      <c r="E24" s="20">
        <f t="shared" si="0"/>
        <v>0</v>
      </c>
      <c r="F24" s="21" t="str">
        <f t="shared" si="1"/>
        <v/>
      </c>
      <c r="G24" s="8" t="str">
        <f>IFERROR(INDEX(T_Snap[総資産],MATCH($B24,T_Snap[年月],0)),"")</f>
        <v/>
      </c>
      <c r="H24" s="1"/>
      <c r="I24" s="1"/>
      <c r="J24" s="1"/>
      <c r="K24" s="1"/>
      <c r="L24" s="1"/>
      <c r="M24" s="1"/>
      <c r="N24" s="1"/>
    </row>
    <row r="25" spans="1:14" ht="16.8" x14ac:dyDescent="0.4">
      <c r="A25" s="1"/>
      <c r="B25" s="19" t="str">
        <f>TEXT(EDATE(DATEVALUE(集計開始年月&amp;"-01"),19),"yyyy-mm")</f>
        <v>2027-08</v>
      </c>
      <c r="C25" s="8">
        <f>SUMIFS(T_Txn[金額],T_Txn[種類],"収入",T_Txn[年月],$B25)</f>
        <v>0</v>
      </c>
      <c r="D25" s="8">
        <f>SUMIFS(T_Txn[金額],T_Txn[種類],"支出",T_Txn[年月],$B25)</f>
        <v>0</v>
      </c>
      <c r="E25" s="20">
        <f t="shared" si="0"/>
        <v>0</v>
      </c>
      <c r="F25" s="21" t="str">
        <f t="shared" si="1"/>
        <v/>
      </c>
      <c r="G25" s="8" t="str">
        <f>IFERROR(INDEX(T_Snap[総資産],MATCH($B25,T_Snap[年月],0)),"")</f>
        <v/>
      </c>
      <c r="H25" s="1"/>
      <c r="I25" s="1"/>
      <c r="J25" s="1"/>
      <c r="K25" s="1"/>
      <c r="L25" s="1"/>
      <c r="M25" s="1"/>
      <c r="N25" s="1"/>
    </row>
    <row r="26" spans="1:14" ht="16.8" x14ac:dyDescent="0.4">
      <c r="A26" s="1"/>
      <c r="B26" s="19" t="str">
        <f>TEXT(EDATE(DATEVALUE(集計開始年月&amp;"-01"),20),"yyyy-mm")</f>
        <v>2027-09</v>
      </c>
      <c r="C26" s="8">
        <f>SUMIFS(T_Txn[金額],T_Txn[種類],"収入",T_Txn[年月],$B26)</f>
        <v>0</v>
      </c>
      <c r="D26" s="8">
        <f>SUMIFS(T_Txn[金額],T_Txn[種類],"支出",T_Txn[年月],$B26)</f>
        <v>0</v>
      </c>
      <c r="E26" s="20">
        <f t="shared" si="0"/>
        <v>0</v>
      </c>
      <c r="F26" s="21" t="str">
        <f t="shared" si="1"/>
        <v/>
      </c>
      <c r="G26" s="8" t="str">
        <f>IFERROR(INDEX(T_Snap[総資産],MATCH($B26,T_Snap[年月],0)),"")</f>
        <v/>
      </c>
      <c r="H26" s="1"/>
      <c r="I26" s="1"/>
      <c r="J26" s="1"/>
      <c r="K26" s="1"/>
      <c r="L26" s="1"/>
      <c r="M26" s="1"/>
      <c r="N26" s="1"/>
    </row>
    <row r="27" spans="1:14" ht="16.8" x14ac:dyDescent="0.4">
      <c r="A27" s="1"/>
      <c r="B27" s="19" t="str">
        <f>TEXT(EDATE(DATEVALUE(集計開始年月&amp;"-01"),21),"yyyy-mm")</f>
        <v>2027-10</v>
      </c>
      <c r="C27" s="8">
        <f>SUMIFS(T_Txn[金額],T_Txn[種類],"収入",T_Txn[年月],$B27)</f>
        <v>0</v>
      </c>
      <c r="D27" s="8">
        <f>SUMIFS(T_Txn[金額],T_Txn[種類],"支出",T_Txn[年月],$B27)</f>
        <v>0</v>
      </c>
      <c r="E27" s="20">
        <f t="shared" si="0"/>
        <v>0</v>
      </c>
      <c r="F27" s="21" t="str">
        <f t="shared" si="1"/>
        <v/>
      </c>
      <c r="G27" s="8" t="str">
        <f>IFERROR(INDEX(T_Snap[総資産],MATCH($B27,T_Snap[年月],0)),"")</f>
        <v/>
      </c>
      <c r="H27" s="1"/>
      <c r="I27" s="1"/>
      <c r="J27" s="1"/>
      <c r="K27" s="1"/>
      <c r="L27" s="1"/>
      <c r="M27" s="1"/>
      <c r="N27" s="1"/>
    </row>
    <row r="28" spans="1:14" ht="16.8" x14ac:dyDescent="0.4">
      <c r="A28" s="1"/>
      <c r="B28" s="19" t="str">
        <f>TEXT(EDATE(DATEVALUE(集計開始年月&amp;"-01"),22),"yyyy-mm")</f>
        <v>2027-11</v>
      </c>
      <c r="C28" s="8">
        <f>SUMIFS(T_Txn[金額],T_Txn[種類],"収入",T_Txn[年月],$B28)</f>
        <v>0</v>
      </c>
      <c r="D28" s="8">
        <f>SUMIFS(T_Txn[金額],T_Txn[種類],"支出",T_Txn[年月],$B28)</f>
        <v>0</v>
      </c>
      <c r="E28" s="20">
        <f t="shared" si="0"/>
        <v>0</v>
      </c>
      <c r="F28" s="21" t="str">
        <f t="shared" si="1"/>
        <v/>
      </c>
      <c r="G28" s="8" t="str">
        <f>IFERROR(INDEX(T_Snap[総資産],MATCH($B28,T_Snap[年月],0)),"")</f>
        <v/>
      </c>
      <c r="H28" s="1"/>
      <c r="I28" s="1"/>
      <c r="J28" s="1"/>
      <c r="K28" s="1"/>
      <c r="L28" s="1"/>
      <c r="M28" s="1"/>
      <c r="N28" s="1"/>
    </row>
    <row r="29" spans="1:14" ht="16.8" x14ac:dyDescent="0.4">
      <c r="A29" s="1"/>
      <c r="B29" s="19" t="str">
        <f>TEXT(EDATE(DATEVALUE(集計開始年月&amp;"-01"),23),"yyyy-mm")</f>
        <v>2027-12</v>
      </c>
      <c r="C29" s="8">
        <f>SUMIFS(T_Txn[金額],T_Txn[種類],"収入",T_Txn[年月],$B29)</f>
        <v>0</v>
      </c>
      <c r="D29" s="8">
        <f>SUMIFS(T_Txn[金額],T_Txn[種類],"支出",T_Txn[年月],$B29)</f>
        <v>0</v>
      </c>
      <c r="E29" s="20">
        <f t="shared" si="0"/>
        <v>0</v>
      </c>
      <c r="F29" s="21" t="str">
        <f t="shared" si="1"/>
        <v/>
      </c>
      <c r="G29" s="8" t="str">
        <f>IFERROR(INDEX(T_Snap[総資産],MATCH($B29,T_Snap[年月],0)),"")</f>
        <v/>
      </c>
      <c r="H29" s="1"/>
      <c r="I29" s="1"/>
      <c r="J29" s="1"/>
      <c r="K29" s="1"/>
      <c r="L29" s="1"/>
      <c r="M29" s="1"/>
      <c r="N29" s="1"/>
    </row>
    <row r="30" spans="1:14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t="16.8" x14ac:dyDescent="0.4">
      <c r="A31" s="1"/>
      <c r="B31" s="4" t="s">
        <v>85</v>
      </c>
      <c r="C31" s="1"/>
      <c r="D31" s="1"/>
      <c r="E31" s="1"/>
      <c r="F31" s="1"/>
      <c r="G31" s="1"/>
      <c r="H31" s="1"/>
      <c r="I31" s="4" t="s">
        <v>86</v>
      </c>
      <c r="J31" s="1"/>
      <c r="K31" s="1"/>
      <c r="L31" s="1"/>
      <c r="M31" s="1"/>
      <c r="N31" s="1"/>
    </row>
    <row r="32" spans="1:14" ht="16.8" x14ac:dyDescent="0.4">
      <c r="A32" s="1"/>
      <c r="B32" s="18" t="s">
        <v>15</v>
      </c>
      <c r="C32" s="18" t="s">
        <v>87</v>
      </c>
      <c r="D32" s="18" t="s">
        <v>88</v>
      </c>
      <c r="E32" s="18" t="s">
        <v>89</v>
      </c>
      <c r="F32" s="1"/>
      <c r="G32" s="1"/>
      <c r="H32" s="1"/>
      <c r="I32" s="18" t="s">
        <v>16</v>
      </c>
      <c r="J32" s="18" t="s">
        <v>87</v>
      </c>
      <c r="K32" s="18" t="s">
        <v>89</v>
      </c>
      <c r="L32" s="1"/>
      <c r="M32" s="1"/>
      <c r="N32" s="1"/>
    </row>
    <row r="33" spans="1:14" ht="16.8" x14ac:dyDescent="0.4">
      <c r="A33" s="1"/>
      <c r="B33" s="22" t="str">
        <f>IFERROR(INDEX(T_Category[カテゴリ],1),"")</f>
        <v>給与</v>
      </c>
      <c r="C33" s="8">
        <f>IF($B33="",0,SUMIFS(T_Txn[金額],T_Txn[種類],"支出",T_Txn[カテゴリ],$B33,T_Txn[年月],対象年月))</f>
        <v>0</v>
      </c>
      <c r="D33" s="8">
        <f>IF($B33="",0,SUMPRODUCT((LEFT(T_Txn[年月],4)=LEFT(対象年月,4))*(T_Txn[種類]="支出")*(T_Txn[カテゴリ]=$B33)*T_Txn[金額]))</f>
        <v>0</v>
      </c>
      <c r="E33" s="15" t="str">
        <f t="shared" ref="E33:E49" si="2">IF(C33=0,"",RANK(C33,$C$33:$C$49))</f>
        <v/>
      </c>
      <c r="F33" s="1"/>
      <c r="G33" s="1"/>
      <c r="H33" s="1"/>
      <c r="I33" s="22" t="str">
        <f>IFERROR(INDEX(T_Pay[支払方法],1),"")</f>
        <v>現金</v>
      </c>
      <c r="J33" s="8">
        <f>IF($I33="",0,SUMIFS(T_Txn[金額],T_Txn[種類],"支出",T_Txn[支払方法],$I33,T_Txn[年月],対象年月))</f>
        <v>5700</v>
      </c>
      <c r="K33" s="15">
        <f t="shared" ref="K33:K39" si="3">IF(J33=0,"",RANK(J33,$J$33:$J$39))</f>
        <v>4</v>
      </c>
      <c r="L33" s="1"/>
      <c r="M33" s="1"/>
      <c r="N33" s="1"/>
    </row>
    <row r="34" spans="1:14" ht="16.8" x14ac:dyDescent="0.4">
      <c r="A34" s="1"/>
      <c r="B34" s="22" t="str">
        <f>IFERROR(INDEX(T_Category[カテゴリ],2),"")</f>
        <v>賞与</v>
      </c>
      <c r="C34" s="8">
        <f>IF($B34="",0,SUMIFS(T_Txn[金額],T_Txn[種類],"支出",T_Txn[カテゴリ],$B34,T_Txn[年月],対象年月))</f>
        <v>0</v>
      </c>
      <c r="D34" s="8">
        <f>IF($B34="",0,SUMPRODUCT((LEFT(T_Txn[年月],4)=LEFT(対象年月,4))*(T_Txn[種類]="支出")*(T_Txn[カテゴリ]=$B34)*T_Txn[金額]))</f>
        <v>0</v>
      </c>
      <c r="E34" s="15" t="str">
        <f t="shared" si="2"/>
        <v/>
      </c>
      <c r="F34" s="1"/>
      <c r="G34" s="1"/>
      <c r="H34" s="1"/>
      <c r="I34" s="22" t="str">
        <f>IFERROR(INDEX(T_Pay[支払方法],2),"")</f>
        <v>クレジット</v>
      </c>
      <c r="J34" s="8">
        <f>IF($I34="",0,SUMIFS(T_Txn[金額],T_Txn[種類],"支出",T_Txn[支払方法],$I34,T_Txn[年月],対象年月))</f>
        <v>12000</v>
      </c>
      <c r="K34" s="15">
        <f t="shared" si="3"/>
        <v>2</v>
      </c>
      <c r="L34" s="1"/>
      <c r="M34" s="1"/>
      <c r="N34" s="1"/>
    </row>
    <row r="35" spans="1:14" ht="16.8" x14ac:dyDescent="0.4">
      <c r="A35" s="1"/>
      <c r="B35" s="22" t="str">
        <f>IFERROR(INDEX(T_Category[カテゴリ],3),"")</f>
        <v>副業</v>
      </c>
      <c r="C35" s="8">
        <f>IF($B35="",0,SUMIFS(T_Txn[金額],T_Txn[種類],"支出",T_Txn[カテゴリ],$B35,T_Txn[年月],対象年月))</f>
        <v>0</v>
      </c>
      <c r="D35" s="8">
        <f>IF($B35="",0,SUMPRODUCT((LEFT(T_Txn[年月],4)=LEFT(対象年月,4))*(T_Txn[種類]="支出")*(T_Txn[カテゴリ]=$B35)*T_Txn[金額]))</f>
        <v>0</v>
      </c>
      <c r="E35" s="15" t="str">
        <f t="shared" si="2"/>
        <v/>
      </c>
      <c r="F35" s="1"/>
      <c r="G35" s="1"/>
      <c r="H35" s="1"/>
      <c r="I35" s="22" t="str">
        <f>IFERROR(INDEX(T_Pay[支払方法],3),"")</f>
        <v>銀行振込</v>
      </c>
      <c r="J35" s="8">
        <f>IF($I35="",0,SUMIFS(T_Txn[金額],T_Txn[種類],"支出",T_Txn[支払方法],$I35,T_Txn[年月],対象年月))</f>
        <v>0</v>
      </c>
      <c r="K35" s="15" t="str">
        <f t="shared" si="3"/>
        <v/>
      </c>
      <c r="L35" s="1"/>
      <c r="M35" s="1"/>
      <c r="N35" s="1"/>
    </row>
    <row r="36" spans="1:14" ht="16.8" x14ac:dyDescent="0.4">
      <c r="A36" s="1"/>
      <c r="B36" s="22" t="str">
        <f>IFERROR(INDEX(T_Category[カテゴリ],4),"")</f>
        <v>その他収入</v>
      </c>
      <c r="C36" s="8">
        <f>IF($B36="",0,SUMIFS(T_Txn[金額],T_Txn[種類],"支出",T_Txn[カテゴリ],$B36,T_Txn[年月],対象年月))</f>
        <v>0</v>
      </c>
      <c r="D36" s="8">
        <f>IF($B36="",0,SUMPRODUCT((LEFT(T_Txn[年月],4)=LEFT(対象年月,4))*(T_Txn[種類]="支出")*(T_Txn[カテゴリ]=$B36)*T_Txn[金額]))</f>
        <v>0</v>
      </c>
      <c r="E36" s="15" t="str">
        <f t="shared" si="2"/>
        <v/>
      </c>
      <c r="F36" s="1"/>
      <c r="G36" s="1"/>
      <c r="H36" s="1"/>
      <c r="I36" s="22" t="str">
        <f>IFERROR(INDEX(T_Pay[支払方法],4),"")</f>
        <v>口座引落</v>
      </c>
      <c r="J36" s="8">
        <f>IF($I36="",0,SUMIFS(T_Txn[金額],T_Txn[種類],"支出",T_Txn[支払方法],$I36,T_Txn[年月],対象年月))</f>
        <v>86000</v>
      </c>
      <c r="K36" s="15">
        <f t="shared" si="3"/>
        <v>1</v>
      </c>
      <c r="L36" s="1"/>
      <c r="M36" s="1"/>
      <c r="N36" s="1"/>
    </row>
    <row r="37" spans="1:14" ht="16.8" x14ac:dyDescent="0.4">
      <c r="A37" s="1"/>
      <c r="B37" s="22" t="str">
        <f>IFERROR(INDEX(T_Category[カテゴリ],5),"")</f>
        <v>食費</v>
      </c>
      <c r="C37" s="8">
        <f>IF($B37="",0,SUMIFS(T_Txn[金額],T_Txn[種類],"支出",T_Txn[カテゴリ],$B37,T_Txn[年月],対象年月))</f>
        <v>7200</v>
      </c>
      <c r="D37" s="8">
        <f>IF($B37="",0,SUMPRODUCT((LEFT(T_Txn[年月],4)=LEFT(対象年月,4))*(T_Txn[種類]="支出")*(T_Txn[カテゴリ]=$B37)*T_Txn[金額]))</f>
        <v>7200</v>
      </c>
      <c r="E37" s="15">
        <f t="shared" si="2"/>
        <v>3</v>
      </c>
      <c r="F37" s="1"/>
      <c r="G37" s="1"/>
      <c r="H37" s="1"/>
      <c r="I37" s="22" t="str">
        <f>IFERROR(INDEX(T_Pay[支払方法],5),"")</f>
        <v>QR決済</v>
      </c>
      <c r="J37" s="8">
        <f>IF($I37="",0,SUMIFS(T_Txn[金額],T_Txn[種類],"支出",T_Txn[支払方法],$I37,T_Txn[年月],対象年月))</f>
        <v>6300</v>
      </c>
      <c r="K37" s="15">
        <f t="shared" si="3"/>
        <v>3</v>
      </c>
      <c r="L37" s="1"/>
      <c r="M37" s="1"/>
      <c r="N37" s="1"/>
    </row>
    <row r="38" spans="1:14" ht="16.8" x14ac:dyDescent="0.4">
      <c r="A38" s="1"/>
      <c r="B38" s="22" t="str">
        <f>IFERROR(INDEX(T_Category[カテゴリ],6),"")</f>
        <v>日用品</v>
      </c>
      <c r="C38" s="8">
        <f>IF($B38="",0,SUMIFS(T_Txn[金額],T_Txn[種類],"支出",T_Txn[カテゴリ],$B38,T_Txn[年月],対象年月))</f>
        <v>0</v>
      </c>
      <c r="D38" s="8">
        <f>IF($B38="",0,SUMPRODUCT((LEFT(T_Txn[年月],4)=LEFT(対象年月,4))*(T_Txn[種類]="支出")*(T_Txn[カテゴリ]=$B38)*T_Txn[金額]))</f>
        <v>0</v>
      </c>
      <c r="E38" s="15" t="str">
        <f t="shared" si="2"/>
        <v/>
      </c>
      <c r="F38" s="1"/>
      <c r="G38" s="1"/>
      <c r="H38" s="1"/>
      <c r="I38" s="22" t="str">
        <f>IFERROR(INDEX(T_Pay[支払方法],6),"")</f>
        <v>デビット</v>
      </c>
      <c r="J38" s="8">
        <f>IF($I38="",0,SUMIFS(T_Txn[金額],T_Txn[種類],"支出",T_Txn[支払方法],$I38,T_Txn[年月],対象年月))</f>
        <v>0</v>
      </c>
      <c r="K38" s="15" t="str">
        <f t="shared" si="3"/>
        <v/>
      </c>
      <c r="L38" s="1"/>
      <c r="M38" s="1"/>
      <c r="N38" s="1"/>
    </row>
    <row r="39" spans="1:14" ht="16.8" x14ac:dyDescent="0.4">
      <c r="A39" s="1"/>
      <c r="B39" s="22" t="str">
        <f>IFERROR(INDEX(T_Category[カテゴリ],7),"")</f>
        <v>住居</v>
      </c>
      <c r="C39" s="8">
        <f>IF($B39="",0,SUMIFS(T_Txn[金額],T_Txn[種類],"支出",T_Txn[カテゴリ],$B39,T_Txn[年月],対象年月))</f>
        <v>80000</v>
      </c>
      <c r="D39" s="8">
        <f>IF($B39="",0,SUMPRODUCT((LEFT(T_Txn[年月],4)=LEFT(対象年月,4))*(T_Txn[種類]="支出")*(T_Txn[カテゴリ]=$B39)*T_Txn[金額]))</f>
        <v>80000</v>
      </c>
      <c r="E39" s="15">
        <f t="shared" si="2"/>
        <v>1</v>
      </c>
      <c r="F39" s="1"/>
      <c r="G39" s="1"/>
      <c r="H39" s="1"/>
      <c r="I39" s="22" t="str">
        <f>IFERROR(INDEX(T_Pay[支払方法],7),"")</f>
        <v>電子マネー</v>
      </c>
      <c r="J39" s="8">
        <f>IF($I39="",0,SUMIFS(T_Txn[金額],T_Txn[種類],"支出",T_Txn[支払方法],$I39,T_Txn[年月],対象年月))</f>
        <v>0</v>
      </c>
      <c r="K39" s="15" t="str">
        <f t="shared" si="3"/>
        <v/>
      </c>
      <c r="L39" s="1"/>
      <c r="M39" s="1"/>
      <c r="N39" s="1"/>
    </row>
    <row r="40" spans="1:14" ht="16.8" x14ac:dyDescent="0.4">
      <c r="A40" s="1"/>
      <c r="B40" s="22" t="str">
        <f>IFERROR(INDEX(T_Category[カテゴリ],8),"")</f>
        <v>水道光熱</v>
      </c>
      <c r="C40" s="8">
        <f>IF($B40="",0,SUMIFS(T_Txn[金額],T_Txn[種類],"支出",T_Txn[カテゴリ],$B40,T_Txn[年月],対象年月))</f>
        <v>0</v>
      </c>
      <c r="D40" s="8">
        <f>IF($B40="",0,SUMPRODUCT((LEFT(T_Txn[年月],4)=LEFT(対象年月,4))*(T_Txn[種類]="支出")*(T_Txn[カテゴリ]=$B40)*T_Txn[金額]))</f>
        <v>0</v>
      </c>
      <c r="E40" s="15" t="str">
        <f t="shared" si="2"/>
        <v/>
      </c>
      <c r="F40" s="1"/>
      <c r="G40" s="1"/>
      <c r="H40" s="1"/>
      <c r="I40" s="1"/>
      <c r="J40" s="1"/>
      <c r="K40" s="1"/>
      <c r="L40" s="1"/>
      <c r="M40" s="1"/>
      <c r="N40" s="1"/>
    </row>
    <row r="41" spans="1:14" ht="16.8" x14ac:dyDescent="0.4">
      <c r="A41" s="1"/>
      <c r="B41" s="22" t="str">
        <f>IFERROR(INDEX(T_Category[カテゴリ],9),"")</f>
        <v>通信</v>
      </c>
      <c r="C41" s="8">
        <f>IF($B41="",0,SUMIFS(T_Txn[金額],T_Txn[種類],"支出",T_Txn[カテゴリ],$B41,T_Txn[年月],対象年月))</f>
        <v>6000</v>
      </c>
      <c r="D41" s="8">
        <f>IF($B41="",0,SUMPRODUCT((LEFT(T_Txn[年月],4)=LEFT(対象年月,4))*(T_Txn[種類]="支出")*(T_Txn[カテゴリ]=$B41)*T_Txn[金額]))</f>
        <v>6000</v>
      </c>
      <c r="E41" s="15">
        <f t="shared" si="2"/>
        <v>4</v>
      </c>
      <c r="F41" s="1"/>
      <c r="G41" s="1"/>
      <c r="H41" s="1"/>
      <c r="I41" s="1"/>
      <c r="J41" s="1"/>
      <c r="K41" s="1"/>
      <c r="L41" s="1"/>
      <c r="M41" s="1"/>
      <c r="N41" s="1"/>
    </row>
    <row r="42" spans="1:14" ht="16.8" x14ac:dyDescent="0.4">
      <c r="A42" s="1"/>
      <c r="B42" s="22" t="str">
        <f>IFERROR(INDEX(T_Category[カテゴリ],10),"")</f>
        <v>交通</v>
      </c>
      <c r="C42" s="8">
        <f>IF($B42="",0,SUMIFS(T_Txn[金額],T_Txn[種類],"支出",T_Txn[カテゴリ],$B42,T_Txn[年月],対象年月))</f>
        <v>0</v>
      </c>
      <c r="D42" s="8">
        <f>IF($B42="",0,SUMPRODUCT((LEFT(T_Txn[年月],4)=LEFT(対象年月,4))*(T_Txn[種類]="支出")*(T_Txn[カテゴリ]=$B42)*T_Txn[金額]))</f>
        <v>0</v>
      </c>
      <c r="E42" s="15" t="str">
        <f t="shared" si="2"/>
        <v/>
      </c>
      <c r="F42" s="1"/>
      <c r="G42" s="1"/>
      <c r="H42" s="1"/>
      <c r="I42" s="1"/>
      <c r="J42" s="1"/>
      <c r="K42" s="1"/>
      <c r="L42" s="1"/>
      <c r="M42" s="1"/>
      <c r="N42" s="1"/>
    </row>
    <row r="43" spans="1:14" ht="16.8" x14ac:dyDescent="0.4">
      <c r="A43" s="1"/>
      <c r="B43" s="22" t="str">
        <f>IFERROR(INDEX(T_Category[カテゴリ],11),"")</f>
        <v>娯楽</v>
      </c>
      <c r="C43" s="8">
        <f>IF($B43="",0,SUMIFS(T_Txn[金額],T_Txn[種類],"支出",T_Txn[カテゴリ],$B43,T_Txn[年月],対象年月))</f>
        <v>4800</v>
      </c>
      <c r="D43" s="8">
        <f>IF($B43="",0,SUMPRODUCT((LEFT(T_Txn[年月],4)=LEFT(対象年月,4))*(T_Txn[種類]="支出")*(T_Txn[カテゴリ]=$B43)*T_Txn[金額]))</f>
        <v>4800</v>
      </c>
      <c r="E43" s="15">
        <f t="shared" si="2"/>
        <v>5</v>
      </c>
      <c r="F43" s="1"/>
      <c r="G43" s="1"/>
      <c r="H43" s="1"/>
      <c r="I43" s="1"/>
      <c r="J43" s="1"/>
      <c r="K43" s="1"/>
      <c r="L43" s="1"/>
      <c r="M43" s="1"/>
      <c r="N43" s="1"/>
    </row>
    <row r="44" spans="1:14" ht="16.8" x14ac:dyDescent="0.4">
      <c r="A44" s="1"/>
      <c r="B44" s="22" t="str">
        <f>IFERROR(INDEX(T_Category[カテゴリ],12),"")</f>
        <v>交際</v>
      </c>
      <c r="C44" s="8">
        <f>IF($B44="",0,SUMIFS(T_Txn[金額],T_Txn[種類],"支出",T_Txn[カテゴリ],$B44,T_Txn[年月],対象年月))</f>
        <v>12000</v>
      </c>
      <c r="D44" s="8">
        <f>IF($B44="",0,SUMPRODUCT((LEFT(T_Txn[年月],4)=LEFT(対象年月,4))*(T_Txn[種類]="支出")*(T_Txn[カテゴリ]=$B44)*T_Txn[金額]))</f>
        <v>12000</v>
      </c>
      <c r="E44" s="15">
        <f t="shared" si="2"/>
        <v>2</v>
      </c>
      <c r="F44" s="1"/>
      <c r="G44" s="1"/>
      <c r="H44" s="1"/>
      <c r="I44" s="1"/>
      <c r="J44" s="1"/>
      <c r="K44" s="1"/>
      <c r="L44" s="1"/>
      <c r="M44" s="1"/>
      <c r="N44" s="1"/>
    </row>
    <row r="45" spans="1:14" ht="16.8" x14ac:dyDescent="0.4">
      <c r="A45" s="1"/>
      <c r="B45" s="22" t="str">
        <f>IFERROR(INDEX(T_Category[カテゴリ],13),"")</f>
        <v>医療</v>
      </c>
      <c r="C45" s="8">
        <f>IF($B45="",0,SUMIFS(T_Txn[金額],T_Txn[種類],"支出",T_Txn[カテゴリ],$B45,T_Txn[年月],対象年月))</f>
        <v>0</v>
      </c>
      <c r="D45" s="8">
        <f>IF($B45="",0,SUMPRODUCT((LEFT(T_Txn[年月],4)=LEFT(対象年月,4))*(T_Txn[種類]="支出")*(T_Txn[カテゴリ]=$B45)*T_Txn[金額]))</f>
        <v>0</v>
      </c>
      <c r="E45" s="15" t="str">
        <f t="shared" si="2"/>
        <v/>
      </c>
      <c r="F45" s="1"/>
      <c r="G45" s="1"/>
      <c r="H45" s="1"/>
      <c r="I45" s="1"/>
      <c r="J45" s="1"/>
      <c r="K45" s="1"/>
      <c r="L45" s="1"/>
      <c r="M45" s="1"/>
      <c r="N45" s="1"/>
    </row>
    <row r="46" spans="1:14" ht="16.8" x14ac:dyDescent="0.4">
      <c r="A46" s="1"/>
      <c r="B46" s="22" t="str">
        <f>IFERROR(INDEX(T_Category[カテゴリ],14),"")</f>
        <v>教育</v>
      </c>
      <c r="C46" s="8">
        <f>IF($B46="",0,SUMIFS(T_Txn[金額],T_Txn[種類],"支出",T_Txn[カテゴリ],$B46,T_Txn[年月],対象年月))</f>
        <v>0</v>
      </c>
      <c r="D46" s="8">
        <f>IF($B46="",0,SUMPRODUCT((LEFT(T_Txn[年月],4)=LEFT(対象年月,4))*(T_Txn[種類]="支出")*(T_Txn[カテゴリ]=$B46)*T_Txn[金額]))</f>
        <v>0</v>
      </c>
      <c r="E46" s="15" t="str">
        <f t="shared" si="2"/>
        <v/>
      </c>
      <c r="F46" s="1"/>
      <c r="G46" s="1"/>
      <c r="H46" s="1"/>
      <c r="I46" s="1"/>
      <c r="J46" s="1"/>
      <c r="K46" s="1"/>
      <c r="L46" s="1"/>
      <c r="M46" s="1"/>
      <c r="N46" s="1"/>
    </row>
    <row r="47" spans="1:14" ht="16.8" x14ac:dyDescent="0.4">
      <c r="A47" s="1"/>
      <c r="B47" s="22" t="str">
        <f>IFERROR(INDEX(T_Category[カテゴリ],15),"")</f>
        <v>保険</v>
      </c>
      <c r="C47" s="8">
        <f>IF($B47="",0,SUMIFS(T_Txn[金額],T_Txn[種類],"支出",T_Txn[カテゴリ],$B47,T_Txn[年月],対象年月))</f>
        <v>0</v>
      </c>
      <c r="D47" s="8">
        <f>IF($B47="",0,SUMPRODUCT((LEFT(T_Txn[年月],4)=LEFT(対象年月,4))*(T_Txn[種類]="支出")*(T_Txn[カテゴリ]=$B47)*T_Txn[金額]))</f>
        <v>0</v>
      </c>
      <c r="E47" s="15" t="str">
        <f t="shared" si="2"/>
        <v/>
      </c>
      <c r="F47" s="1"/>
      <c r="G47" s="1"/>
      <c r="H47" s="1"/>
      <c r="I47" s="1"/>
      <c r="J47" s="1"/>
      <c r="K47" s="1"/>
      <c r="L47" s="1"/>
      <c r="M47" s="1"/>
      <c r="N47" s="1"/>
    </row>
    <row r="48" spans="1:14" ht="16.8" x14ac:dyDescent="0.4">
      <c r="A48" s="1"/>
      <c r="B48" s="22" t="str">
        <f>IFERROR(INDEX(T_Category[カテゴリ],16),"")</f>
        <v>サブスク</v>
      </c>
      <c r="C48" s="8">
        <f>IF($B48="",0,SUMIFS(T_Txn[金額],T_Txn[種類],"支出",T_Txn[カテゴリ],$B48,T_Txn[年月],対象年月))</f>
        <v>0</v>
      </c>
      <c r="D48" s="8">
        <f>IF($B48="",0,SUMPRODUCT((LEFT(T_Txn[年月],4)=LEFT(対象年月,4))*(T_Txn[種類]="支出")*(T_Txn[カテゴリ]=$B48)*T_Txn[金額]))</f>
        <v>0</v>
      </c>
      <c r="E48" s="15" t="str">
        <f t="shared" si="2"/>
        <v/>
      </c>
      <c r="F48" s="1"/>
      <c r="G48" s="1"/>
      <c r="H48" s="1"/>
      <c r="I48" s="1"/>
      <c r="J48" s="1"/>
      <c r="K48" s="1"/>
      <c r="L48" s="1"/>
      <c r="M48" s="1"/>
      <c r="N48" s="1"/>
    </row>
    <row r="49" spans="1:14" ht="16.8" x14ac:dyDescent="0.4">
      <c r="A49" s="1"/>
      <c r="B49" s="22" t="str">
        <f>IFERROR(INDEX(T_Category[カテゴリ],17),"")</f>
        <v>その他支出</v>
      </c>
      <c r="C49" s="8">
        <f>IF($B49="",0,SUMIFS(T_Txn[金額],T_Txn[種類],"支出",T_Txn[カテゴリ],$B49,T_Txn[年月],対象年月))</f>
        <v>0</v>
      </c>
      <c r="D49" s="8">
        <f>IF($B49="",0,SUMPRODUCT((LEFT(T_Txn[年月],4)=LEFT(対象年月,4))*(T_Txn[種類]="支出")*(T_Txn[カテゴリ]=$B49)*T_Txn[金額]))</f>
        <v>0</v>
      </c>
      <c r="E49" s="15" t="str">
        <f t="shared" si="2"/>
        <v/>
      </c>
      <c r="F49" s="1"/>
      <c r="G49" s="1"/>
      <c r="H49" s="1"/>
      <c r="I49" s="1"/>
      <c r="J49" s="1"/>
      <c r="K49" s="1"/>
      <c r="L49" s="1"/>
      <c r="M49" s="1"/>
      <c r="N49" s="1"/>
    </row>
    <row r="50" spans="1:14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</sheetData>
  <phoneticPr fontId="19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4E2D5"/>
  </sheetPr>
  <dimension ref="A1:J60"/>
  <sheetViews>
    <sheetView showGridLines="0" workbookViewId="0"/>
  </sheetViews>
  <sheetFormatPr defaultRowHeight="13.2" x14ac:dyDescent="0.2"/>
  <cols>
    <col min="1" max="1" width="2" customWidth="1"/>
    <col min="2" max="2" width="11" customWidth="1"/>
    <col min="3" max="3" width="14" customWidth="1"/>
    <col min="4" max="6" width="12" customWidth="1"/>
  </cols>
  <sheetData>
    <row r="1" spans="1:10" ht="16.8" x14ac:dyDescent="0.4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29.4" x14ac:dyDescent="0.4">
      <c r="A2" s="1"/>
      <c r="B2" s="2" t="s">
        <v>90</v>
      </c>
      <c r="C2" s="1"/>
      <c r="D2" s="1"/>
      <c r="E2" s="1"/>
      <c r="F2" s="1"/>
      <c r="G2" s="1"/>
      <c r="H2" s="1"/>
      <c r="I2" s="1"/>
      <c r="J2" s="1"/>
    </row>
    <row r="3" spans="1:10" ht="16.8" x14ac:dyDescent="0.4">
      <c r="A3" s="1"/>
      <c r="B3" s="3" t="s">
        <v>91</v>
      </c>
      <c r="C3" s="1"/>
      <c r="D3" s="1"/>
      <c r="E3" s="1"/>
      <c r="F3" s="1"/>
      <c r="G3" s="1"/>
      <c r="H3" s="1"/>
      <c r="I3" s="1"/>
      <c r="J3" s="1"/>
    </row>
    <row r="4" spans="1:10" ht="16.8" x14ac:dyDescent="0.4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6.8" x14ac:dyDescent="0.4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ht="16.8" x14ac:dyDescent="0.4">
      <c r="A6" s="1"/>
      <c r="B6" s="5" t="s">
        <v>18</v>
      </c>
      <c r="C6" s="5" t="s">
        <v>1</v>
      </c>
      <c r="D6" s="5" t="s">
        <v>32</v>
      </c>
      <c r="E6" s="5" t="s">
        <v>20</v>
      </c>
      <c r="F6" s="5" t="s">
        <v>24</v>
      </c>
      <c r="G6" s="1"/>
      <c r="H6" s="1"/>
      <c r="I6" s="1"/>
      <c r="J6" s="1"/>
    </row>
    <row r="7" spans="1:10" ht="16.8" x14ac:dyDescent="0.4">
      <c r="A7" s="1"/>
      <c r="B7" s="7" t="str">
        <f>対象年月</f>
        <v>2026-07</v>
      </c>
      <c r="C7" s="20">
        <f>SUM(T_Account[現在残高])</f>
        <v>148300</v>
      </c>
      <c r="D7" s="20">
        <f>IFERROR(INDEX(T_Account[現在残高],MATCH("現金",T_Account[口座名],0)),0)</f>
        <v>24400</v>
      </c>
      <c r="E7" s="20">
        <f>IFERROR(INDEX(T_Account[現在残高],MATCH("銀行",T_Account[口座名],0)),0)</f>
        <v>122100</v>
      </c>
      <c r="F7" s="20">
        <f>IFERROR(INDEX(T_Account[現在残高],MATCH("QR",T_Account[口座名],0)),0)</f>
        <v>1800</v>
      </c>
      <c r="G7" s="1"/>
      <c r="H7" s="1"/>
      <c r="I7" s="1"/>
      <c r="J7" s="1"/>
    </row>
    <row r="8" spans="1:10" ht="16.8" x14ac:dyDescent="0.4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ht="16.8" x14ac:dyDescent="0.4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ht="16.8" x14ac:dyDescent="0.4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ht="16.8" x14ac:dyDescent="0.4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ht="16.8" x14ac:dyDescent="0.4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ht="16.8" x14ac:dyDescent="0.4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6.8" x14ac:dyDescent="0.4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ht="16.8" x14ac:dyDescent="0.4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ht="16.8" x14ac:dyDescent="0.4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ht="16.8" x14ac:dyDescent="0.4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ht="16.8" x14ac:dyDescent="0.4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</row>
  </sheetData>
  <phoneticPr fontId="19"/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6C7086"/>
  </sheetPr>
  <dimension ref="A1:R60"/>
  <sheetViews>
    <sheetView showGridLines="0" workbookViewId="0"/>
  </sheetViews>
  <sheetFormatPr defaultRowHeight="13.2" x14ac:dyDescent="0.2"/>
  <cols>
    <col min="1" max="1" width="2" customWidth="1"/>
    <col min="2" max="2" width="16" customWidth="1"/>
    <col min="3" max="3" width="14" customWidth="1"/>
    <col min="4" max="4" width="10" customWidth="1"/>
    <col min="5" max="5" width="16" customWidth="1"/>
    <col min="6" max="6" width="2" customWidth="1"/>
    <col min="7" max="7" width="16" customWidth="1"/>
    <col min="8" max="8" width="12" customWidth="1"/>
    <col min="9" max="9" width="2" customWidth="1"/>
    <col min="10" max="10" width="16" customWidth="1"/>
    <col min="12" max="12" width="10" customWidth="1"/>
  </cols>
  <sheetData>
    <row r="1" spans="1:18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29.4" x14ac:dyDescent="0.4">
      <c r="A2" s="1"/>
      <c r="B2" s="2" t="s">
        <v>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ht="16.8" x14ac:dyDescent="0.4">
      <c r="A3" s="1"/>
      <c r="B3" s="3" t="s">
        <v>93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16.8" x14ac:dyDescent="0.4">
      <c r="A4" s="1"/>
      <c r="B4" s="4" t="s">
        <v>94</v>
      </c>
      <c r="C4" s="1"/>
      <c r="D4" s="1"/>
      <c r="E4" s="1"/>
      <c r="F4" s="1"/>
      <c r="G4" s="4" t="s">
        <v>95</v>
      </c>
      <c r="H4" s="1"/>
      <c r="I4" s="1"/>
      <c r="J4" s="4" t="s">
        <v>96</v>
      </c>
      <c r="K4" s="1"/>
      <c r="L4" s="4" t="s">
        <v>97</v>
      </c>
      <c r="M4" s="1"/>
      <c r="N4" s="1"/>
      <c r="O4" s="1"/>
      <c r="P4" s="1"/>
      <c r="Q4" s="1"/>
      <c r="R4" s="1"/>
    </row>
    <row r="5" spans="1:18" ht="16.8" x14ac:dyDescent="0.4">
      <c r="A5" s="1"/>
      <c r="B5" s="18" t="s">
        <v>98</v>
      </c>
      <c r="C5" s="18" t="s">
        <v>99</v>
      </c>
      <c r="D5" s="18" t="s">
        <v>100</v>
      </c>
      <c r="E5" s="18" t="s">
        <v>101</v>
      </c>
      <c r="F5" s="1"/>
      <c r="G5" s="18" t="s">
        <v>15</v>
      </c>
      <c r="H5" s="18" t="s">
        <v>102</v>
      </c>
      <c r="I5" s="1"/>
      <c r="J5" s="18" t="s">
        <v>16</v>
      </c>
      <c r="K5" s="1"/>
      <c r="L5" s="23" t="s">
        <v>19</v>
      </c>
      <c r="M5" s="1"/>
      <c r="N5" s="1"/>
      <c r="O5" s="1"/>
      <c r="P5" s="1"/>
      <c r="Q5" s="1"/>
      <c r="R5" s="1"/>
    </row>
    <row r="6" spans="1:18" ht="16.8" x14ac:dyDescent="0.4">
      <c r="A6" s="1"/>
      <c r="B6" s="24" t="s">
        <v>32</v>
      </c>
      <c r="C6" s="25">
        <v>100</v>
      </c>
      <c r="D6" s="26">
        <v>1</v>
      </c>
      <c r="E6" s="20">
        <f>C6+SUMIFS(T_Txn[金額],T_Txn[入金先],B6)-SUMIFS(T_Txn[金額],T_Txn[出金元],B6)</f>
        <v>24400</v>
      </c>
      <c r="F6" s="1"/>
      <c r="G6" s="24" t="s">
        <v>21</v>
      </c>
      <c r="H6" s="26" t="s">
        <v>19</v>
      </c>
      <c r="I6" s="1"/>
      <c r="J6" s="24" t="s">
        <v>32</v>
      </c>
      <c r="K6" s="1"/>
      <c r="L6" s="23" t="s">
        <v>28</v>
      </c>
      <c r="M6" s="1"/>
      <c r="N6" s="1"/>
      <c r="O6" s="1"/>
      <c r="P6" s="1"/>
      <c r="Q6" s="1"/>
      <c r="R6" s="1"/>
    </row>
    <row r="7" spans="1:18" ht="16.8" x14ac:dyDescent="0.4">
      <c r="A7" s="1"/>
      <c r="B7" s="24" t="s">
        <v>20</v>
      </c>
      <c r="C7" s="25">
        <v>100</v>
      </c>
      <c r="D7" s="26">
        <v>2</v>
      </c>
      <c r="E7" s="20">
        <f>C7+SUMIFS(T_Txn[金額],T_Txn[入金先],B7)-SUMIFS(T_Txn[金額],T_Txn[出金元],B7)</f>
        <v>122100</v>
      </c>
      <c r="F7" s="1"/>
      <c r="G7" s="24" t="s">
        <v>103</v>
      </c>
      <c r="H7" s="26" t="s">
        <v>19</v>
      </c>
      <c r="I7" s="1"/>
      <c r="J7" s="24" t="s">
        <v>42</v>
      </c>
      <c r="K7" s="1"/>
      <c r="L7" s="23" t="s">
        <v>44</v>
      </c>
      <c r="M7" s="1"/>
      <c r="N7" s="1"/>
      <c r="O7" s="1"/>
      <c r="P7" s="1"/>
      <c r="Q7" s="1"/>
      <c r="R7" s="1"/>
    </row>
    <row r="8" spans="1:18" ht="16.8" x14ac:dyDescent="0.4">
      <c r="A8" s="1"/>
      <c r="B8" s="24" t="s">
        <v>24</v>
      </c>
      <c r="C8" s="25">
        <v>100</v>
      </c>
      <c r="D8" s="26">
        <v>3</v>
      </c>
      <c r="E8" s="20">
        <f>C8+SUMIFS(T_Txn[金額],T_Txn[入金先],B8)-SUMIFS(T_Txn[金額],T_Txn[出金元],B8)</f>
        <v>1800</v>
      </c>
      <c r="F8" s="1"/>
      <c r="G8" s="24" t="s">
        <v>25</v>
      </c>
      <c r="H8" s="26" t="s">
        <v>19</v>
      </c>
      <c r="I8" s="1"/>
      <c r="J8" s="24" t="s">
        <v>22</v>
      </c>
      <c r="K8" s="1"/>
      <c r="L8" s="1"/>
      <c r="M8" s="1"/>
      <c r="N8" s="1"/>
      <c r="O8" s="1"/>
      <c r="P8" s="1"/>
      <c r="Q8" s="1"/>
      <c r="R8" s="1"/>
    </row>
    <row r="9" spans="1:18" ht="16.8" x14ac:dyDescent="0.4">
      <c r="A9" s="1"/>
      <c r="B9" s="1"/>
      <c r="C9" s="1"/>
      <c r="D9" s="1"/>
      <c r="E9" s="1"/>
      <c r="F9" s="1"/>
      <c r="G9" s="24" t="s">
        <v>104</v>
      </c>
      <c r="H9" s="26" t="s">
        <v>19</v>
      </c>
      <c r="I9" s="1"/>
      <c r="J9" s="24" t="s">
        <v>30</v>
      </c>
      <c r="K9" s="1"/>
      <c r="L9" s="1"/>
      <c r="M9" s="1"/>
      <c r="N9" s="1"/>
      <c r="O9" s="1"/>
      <c r="P9" s="1"/>
      <c r="Q9" s="1"/>
      <c r="R9" s="1"/>
    </row>
    <row r="10" spans="1:18" ht="16.8" x14ac:dyDescent="0.4">
      <c r="A10" s="1"/>
      <c r="B10" s="1"/>
      <c r="C10" s="1"/>
      <c r="D10" s="1"/>
      <c r="E10" s="1"/>
      <c r="F10" s="1"/>
      <c r="G10" s="24" t="s">
        <v>33</v>
      </c>
      <c r="H10" s="26" t="s">
        <v>28</v>
      </c>
      <c r="I10" s="1"/>
      <c r="J10" s="24" t="s">
        <v>26</v>
      </c>
      <c r="K10" s="1"/>
      <c r="L10" s="1"/>
      <c r="M10" s="1"/>
      <c r="N10" s="1"/>
      <c r="O10" s="1"/>
      <c r="P10" s="1"/>
      <c r="Q10" s="1"/>
      <c r="R10" s="1"/>
    </row>
    <row r="11" spans="1:18" ht="16.8" x14ac:dyDescent="0.4">
      <c r="A11" s="1"/>
      <c r="B11" s="1"/>
      <c r="C11" s="1"/>
      <c r="D11" s="1"/>
      <c r="E11" s="1"/>
      <c r="F11" s="1"/>
      <c r="G11" s="24" t="s">
        <v>105</v>
      </c>
      <c r="H11" s="26" t="s">
        <v>28</v>
      </c>
      <c r="I11" s="1"/>
      <c r="J11" s="24" t="s">
        <v>106</v>
      </c>
      <c r="K11" s="1"/>
      <c r="L11" s="1"/>
      <c r="M11" s="1"/>
      <c r="N11" s="1"/>
      <c r="O11" s="1"/>
      <c r="P11" s="1"/>
      <c r="Q11" s="1"/>
      <c r="R11" s="1"/>
    </row>
    <row r="12" spans="1:18" ht="16.8" x14ac:dyDescent="0.4">
      <c r="A12" s="1"/>
      <c r="B12" s="1"/>
      <c r="C12" s="1"/>
      <c r="D12" s="1"/>
      <c r="E12" s="1"/>
      <c r="F12" s="1"/>
      <c r="G12" s="24" t="s">
        <v>29</v>
      </c>
      <c r="H12" s="26" t="s">
        <v>28</v>
      </c>
      <c r="I12" s="1"/>
      <c r="J12" s="24" t="s">
        <v>107</v>
      </c>
      <c r="K12" s="1"/>
      <c r="L12" s="1"/>
      <c r="M12" s="1"/>
      <c r="N12" s="1"/>
      <c r="O12" s="1"/>
      <c r="P12" s="1"/>
      <c r="Q12" s="1"/>
      <c r="R12" s="1"/>
    </row>
    <row r="13" spans="1:18" ht="16.8" x14ac:dyDescent="0.4">
      <c r="A13" s="1"/>
      <c r="B13" s="1"/>
      <c r="C13" s="1"/>
      <c r="D13" s="1"/>
      <c r="E13" s="1"/>
      <c r="F13" s="1"/>
      <c r="G13" s="24" t="s">
        <v>58</v>
      </c>
      <c r="H13" s="26" t="s">
        <v>28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ht="16.8" x14ac:dyDescent="0.4">
      <c r="A14" s="1"/>
      <c r="B14" s="1"/>
      <c r="C14" s="1"/>
      <c r="D14" s="1"/>
      <c r="E14" s="1"/>
      <c r="F14" s="1"/>
      <c r="G14" s="24" t="s">
        <v>36</v>
      </c>
      <c r="H14" s="26" t="s">
        <v>28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ht="16.8" x14ac:dyDescent="0.4">
      <c r="A15" s="1"/>
      <c r="B15" s="1"/>
      <c r="C15" s="1"/>
      <c r="D15" s="1"/>
      <c r="E15" s="1"/>
      <c r="F15" s="1"/>
      <c r="G15" s="24" t="s">
        <v>108</v>
      </c>
      <c r="H15" s="26" t="s">
        <v>28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ht="16.8" x14ac:dyDescent="0.4">
      <c r="A16" s="1"/>
      <c r="B16" s="1"/>
      <c r="C16" s="1"/>
      <c r="D16" s="1"/>
      <c r="E16" s="1"/>
      <c r="F16" s="1"/>
      <c r="G16" s="24" t="s">
        <v>38</v>
      </c>
      <c r="H16" s="26" t="s">
        <v>28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ht="16.8" x14ac:dyDescent="0.4">
      <c r="A17" s="1"/>
      <c r="B17" s="1"/>
      <c r="C17" s="1"/>
      <c r="D17" s="1"/>
      <c r="E17" s="1"/>
      <c r="F17" s="1"/>
      <c r="G17" s="24" t="s">
        <v>41</v>
      </c>
      <c r="H17" s="26" t="s">
        <v>28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ht="16.8" x14ac:dyDescent="0.4">
      <c r="A18" s="1"/>
      <c r="B18" s="1"/>
      <c r="C18" s="1"/>
      <c r="D18" s="1"/>
      <c r="E18" s="1"/>
      <c r="F18" s="1"/>
      <c r="G18" s="24" t="s">
        <v>109</v>
      </c>
      <c r="H18" s="26" t="s">
        <v>28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ht="16.8" x14ac:dyDescent="0.4">
      <c r="A19" s="1"/>
      <c r="B19" s="1"/>
      <c r="C19" s="1"/>
      <c r="D19" s="1"/>
      <c r="E19" s="1"/>
      <c r="F19" s="1"/>
      <c r="G19" s="24" t="s">
        <v>110</v>
      </c>
      <c r="H19" s="26" t="s">
        <v>28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ht="16.8" x14ac:dyDescent="0.4">
      <c r="A20" s="1"/>
      <c r="B20" s="1"/>
      <c r="C20" s="1"/>
      <c r="D20" s="1"/>
      <c r="E20" s="1"/>
      <c r="F20" s="1"/>
      <c r="G20" s="24" t="s">
        <v>60</v>
      </c>
      <c r="H20" s="26" t="s">
        <v>28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ht="16.8" x14ac:dyDescent="0.4">
      <c r="A21" s="1"/>
      <c r="B21" s="1"/>
      <c r="C21" s="1"/>
      <c r="D21" s="1"/>
      <c r="E21" s="1"/>
      <c r="F21" s="1"/>
      <c r="G21" s="24" t="s">
        <v>63</v>
      </c>
      <c r="H21" s="26" t="s">
        <v>28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t="16.8" x14ac:dyDescent="0.4">
      <c r="A22" s="1"/>
      <c r="B22" s="1"/>
      <c r="C22" s="1"/>
      <c r="D22" s="1"/>
      <c r="E22" s="1"/>
      <c r="F22" s="1"/>
      <c r="G22" s="24" t="s">
        <v>111</v>
      </c>
      <c r="H22" s="26" t="s">
        <v>28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</sheetData>
  <phoneticPr fontId="19"/>
  <pageMargins left="0.75" right="0.75" top="1" bottom="1" header="0.5" footer="0.5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6C7086"/>
  </sheetPr>
  <dimension ref="A1:L40"/>
  <sheetViews>
    <sheetView showGridLines="0" workbookViewId="0"/>
  </sheetViews>
  <sheetFormatPr defaultRowHeight="13.2" x14ac:dyDescent="0.2"/>
  <cols>
    <col min="1" max="1" width="2" customWidth="1"/>
    <col min="2" max="2" width="22" customWidth="1"/>
    <col min="3" max="3" width="20" customWidth="1"/>
    <col min="4" max="4" width="40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112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113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4" t="s">
        <v>114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6.8" x14ac:dyDescent="0.4">
      <c r="A5" s="1"/>
      <c r="B5" s="27" t="s">
        <v>115</v>
      </c>
      <c r="C5" s="26" t="s">
        <v>116</v>
      </c>
      <c r="D5" s="28" t="s">
        <v>117</v>
      </c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27" t="s">
        <v>118</v>
      </c>
      <c r="C6" s="26" t="s">
        <v>119</v>
      </c>
      <c r="D6" s="28" t="s">
        <v>120</v>
      </c>
      <c r="E6" s="1"/>
      <c r="F6" s="1"/>
      <c r="G6" s="1"/>
      <c r="H6" s="1"/>
      <c r="I6" s="1"/>
      <c r="J6" s="1"/>
      <c r="K6" s="1"/>
      <c r="L6" s="1"/>
    </row>
    <row r="7" spans="1:12" ht="16.8" x14ac:dyDescent="0.4">
      <c r="A7" s="1"/>
      <c r="B7" s="27" t="s">
        <v>121</v>
      </c>
      <c r="C7" s="26" t="s">
        <v>55</v>
      </c>
      <c r="D7" s="28" t="s">
        <v>122</v>
      </c>
      <c r="E7" s="1"/>
      <c r="F7" s="1"/>
      <c r="G7" s="1"/>
      <c r="H7" s="1"/>
      <c r="I7" s="1"/>
      <c r="J7" s="1"/>
      <c r="K7" s="1"/>
      <c r="L7" s="1"/>
    </row>
    <row r="8" spans="1:12" ht="16.8" x14ac:dyDescent="0.4">
      <c r="A8" s="1"/>
      <c r="B8" s="27" t="s">
        <v>123</v>
      </c>
      <c r="C8" s="26" t="s">
        <v>61</v>
      </c>
      <c r="D8" s="28" t="s">
        <v>124</v>
      </c>
      <c r="E8" s="1"/>
      <c r="F8" s="1"/>
      <c r="G8" s="1"/>
      <c r="H8" s="1"/>
      <c r="I8" s="1"/>
      <c r="J8" s="1"/>
      <c r="K8" s="1"/>
      <c r="L8" s="1"/>
    </row>
    <row r="9" spans="1:12" ht="16.8" x14ac:dyDescent="0.4">
      <c r="A9" s="1"/>
      <c r="B9" s="27" t="s">
        <v>125</v>
      </c>
      <c r="C9" s="26" t="s">
        <v>126</v>
      </c>
      <c r="D9" s="28" t="s">
        <v>127</v>
      </c>
      <c r="E9" s="1"/>
      <c r="F9" s="1"/>
      <c r="G9" s="1"/>
      <c r="H9" s="1"/>
      <c r="I9" s="1"/>
      <c r="J9" s="1"/>
      <c r="K9" s="1"/>
      <c r="L9" s="1"/>
    </row>
    <row r="10" spans="1:12" ht="16.8" x14ac:dyDescent="0.4">
      <c r="A10" s="1"/>
      <c r="B10" s="27" t="s">
        <v>128</v>
      </c>
      <c r="C10" s="26" t="s">
        <v>129</v>
      </c>
      <c r="D10" s="28"/>
      <c r="E10" s="1"/>
      <c r="F10" s="1"/>
      <c r="G10" s="1"/>
      <c r="H10" s="1"/>
      <c r="I10" s="1"/>
      <c r="J10" s="1"/>
      <c r="K10" s="1"/>
      <c r="L10" s="1"/>
    </row>
    <row r="11" spans="1:12" ht="16.8" x14ac:dyDescent="0.4">
      <c r="A11" s="1"/>
      <c r="B11" s="27" t="s">
        <v>130</v>
      </c>
      <c r="C11" s="26" t="s">
        <v>131</v>
      </c>
      <c r="D11" s="28"/>
      <c r="E11" s="1"/>
      <c r="F11" s="1"/>
      <c r="G11" s="1"/>
      <c r="H11" s="1"/>
      <c r="I11" s="1"/>
      <c r="J11" s="1"/>
      <c r="K11" s="1"/>
      <c r="L11" s="1"/>
    </row>
    <row r="12" spans="1:12" ht="16.8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ht="16.8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16.8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16.8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16.8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6.8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16.8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</sheetData>
  <phoneticPr fontId="19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9</vt:i4>
      </vt:variant>
    </vt:vector>
  </HeadingPairs>
  <TitlesOfParts>
    <vt:vector size="17" baseType="lpstr">
      <vt:lpstr>Dashboard</vt:lpstr>
      <vt:lpstr>取引履歴</vt:lpstr>
      <vt:lpstr>固定収支</vt:lpstr>
      <vt:lpstr>サブスク</vt:lpstr>
      <vt:lpstr>レポート</vt:lpstr>
      <vt:lpstr>スナップショット</vt:lpstr>
      <vt:lpstr>マスタ</vt:lpstr>
      <vt:lpstr>設定</vt:lpstr>
      <vt:lpstr>カテゴリリスト</vt:lpstr>
      <vt:lpstr>バックアップ先</vt:lpstr>
      <vt:lpstr>口座リスト</vt:lpstr>
      <vt:lpstr>残高不足チェック</vt:lpstr>
      <vt:lpstr>支払方法リスト</vt:lpstr>
      <vt:lpstr>自動バックアップ</vt:lpstr>
      <vt:lpstr>種類リスト</vt:lpstr>
      <vt:lpstr>集計開始年月</vt:lpstr>
      <vt:lpstr>対象年月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2026-07-09T22:25:52Z</dcterms:created>
  <dcterms:modified xsi:type="dcterms:W3CDTF">2026-07-09T22:25:58Z</dcterms:modified>
</cp:coreProperties>
</file>